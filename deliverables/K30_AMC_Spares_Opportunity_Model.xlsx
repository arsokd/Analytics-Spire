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MC &amp; Spares % Assumptions" sheetId="2" state="visible" r:id="rId4"/>
    <sheet name="Client-Product Master" sheetId="3" state="visible" r:id="rId5"/>
    <sheet name="Opportunity Model (Year-wise)" sheetId="4" state="visible" r:id="rId6"/>
    <sheet name="Client Summary" sheetId="5" state="visible" r:id="rId7"/>
  </sheets>
  <definedNames>
    <definedName function="false" hidden="true" localSheetId="4" name="_xlnm._FilterDatabase" vbProcedure="false">'Client Summary'!$A$1:$F$44</definedName>
    <definedName function="false" hidden="true" localSheetId="2" name="_xlnm._FilterDatabase" vbProcedure="false">'Client-Product Master'!$A$1:$G$55</definedName>
    <definedName function="false" hidden="true" localSheetId="3" name="_xlnm._FilterDatabase" vbProcedure="false">'Opportunity Model (Year-wise)'!$A$1:$I$379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<sst xmlns="http://schemas.openxmlformats.org/spreadsheetml/2006/main" count="283" uniqueCount="166">
  <si>
    <t xml:space="preserve">K-30 / Measure DI — AMC &amp; Spare Parts Opportunity Model</t>
  </si>
  <si>
    <t xml:space="preserve">Client-wise, product-wise aftermarket (AMC + Spare Parts) revenue opportunity sizing, Year 1–7</t>
  </si>
  <si>
    <t xml:space="preserve">WHAT THIS WORKBOOK DOES</t>
  </si>
  <si>
    <t xml:space="preserve">For every product sold to every client (source: K30_Spare_Data.xlsx), this model estimates the Annual Maintenance</t>
  </si>
  <si>
    <t xml:space="preserve">Contract (AMC) and Spare Parts revenue opportunity for Years 1 through 7 after sale, as a % of that product's</t>
  </si>
  <si>
    <t xml:space="preserve">original billed value. The % curve is an editable assumption (see the "AMC &amp; Spares % Assumptions" tab) — every</t>
  </si>
  <si>
    <t xml:space="preserve">opportunity value in this workbook is a LIVE FORMULA, so changing a % or a billed value recalculates everything.</t>
  </si>
  <si>
    <t xml:space="preserve">HOW TO USE IT</t>
  </si>
  <si>
    <t xml:space="preserve">1. Open "Client-Product Master" and fill in any blank Product Billed Value, Installation Year, or Warranty Status</t>
  </si>
  <si>
    <t xml:space="preserve">   cells (shaded yellow) as that information becomes available.</t>
  </si>
  <si>
    <t xml:space="preserve">2. Open "AMC &amp; Spares % Assumptions" and adjust the Year 1–7 % curve to match your actual AMC/Spares pricing</t>
  </si>
  <si>
    <t xml:space="preserve">   policy once you have real billing history to calibrate against — the starting values here are an industry-pattern</t>
  </si>
  <si>
    <t xml:space="preserve">   estimate, not confirmed Measure DI pricing.</t>
  </si>
  <si>
    <t xml:space="preserve">3. "Opportunity Model (Year-wise)" and "Client Summary" update automatically — nothing to edit there.</t>
  </si>
  <si>
    <t xml:space="preserve">LEGEND</t>
  </si>
  <si>
    <t xml:space="preserve">  Blue text        = a hardcoded input value (sourced from the original file)</t>
  </si>
  <si>
    <t xml:space="preserve">  Yellow fill       = a cell you should fill in / review (missing or assumed data)</t>
  </si>
  <si>
    <t xml:space="preserve">  Green text        = a live link pulling a value from another sheet</t>
  </si>
  <si>
    <t xml:space="preserve">  Black text        = a calculated formula — do not type over these</t>
  </si>
  <si>
    <t xml:space="preserve">DATA QUALITY NOTES FROM THE SOURCE FILE (please confirm with the sales team)</t>
  </si>
  <si>
    <t xml:space="preserve">  - Of 54 line items, only 13 had a billed value in the source file — and that value was entered in the</t>
  </si>
  <si>
    <t xml:space="preserve">    "Installation date" column by mistake, not the "Product billed value" column. It has been moved to the</t>
  </si>
  <si>
    <t xml:space="preserve">    correct column here. The remaining 41 rows have no billed value in the source file and are shaded yellow</t>
  </si>
  <si>
    <t xml:space="preserve">    on the "Client-Product Master" tab pending follow-up.</t>
  </si>
  <si>
    <t xml:space="preserve">  - No row in the source file had an actual Installation Date, Warranty Status, or a Segment other than "Spare" —</t>
  </si>
  <si>
    <t xml:space="preserve">    those columns are carried through for future use but are currently blank/uniform and shaded yellow where blank.</t>
  </si>
  <si>
    <t xml:space="preserve">  - One row ("8 no load cell") had no Client Name in the source file; it is flagged for confirmation rather than guessed.</t>
  </si>
  <si>
    <t xml:space="preserve">  - Two rows for the same client differed only in capitalization ("Tata Steel Ltd" vs "TATA STEEL LTD") and have</t>
  </si>
  <si>
    <t xml:space="preserve">    been merged under one canonical name so totals aren't double-counted — worth a quick sanity check that it</t>
  </si>
  <si>
    <t xml:space="preserve">    really is the same client and not two distinct entities.</t>
  </si>
  <si>
    <t xml:space="preserve">  - The source "Segment" column was "Spare" on every single row, including items that read like full systems</t>
  </si>
  <si>
    <t xml:space="preserve">    (e.g. "Hot metal weighing system 100 ton") rather than spare parts — worth confirming with the team whether</t>
  </si>
  <si>
    <t xml:space="preserve">    this reflects which sales ledger the row came from, or the actual product type.</t>
  </si>
  <si>
    <t xml:space="preserve">METHODOLOGY FOR THE YEAR 1–7 % ASSUMPTION (see "AMC &amp; Spares % Assumptions" tab)</t>
  </si>
  <si>
    <t xml:space="preserve">  Industrial weighing/measurement equipment (load cells, weighbridges, crane scales, controllers) typically</t>
  </si>
  <si>
    <t xml:space="preserve">  generates cumulative aftermarket revenue (AMC + Spares combined) equal to roughly 50-100% of original</t>
  </si>
  <si>
    <t xml:space="preserve">  equipment value over a 7-year horizon, rising from a low base in Year 1 (often still under warranty) to a</t>
  </si>
  <si>
    <t xml:space="preserve">  plateau by Years 5-7 as components wear and need periodic replacement. The starting curve in this workbook</t>
  </si>
  <si>
    <t xml:space="preserve">  (~2.5% of product value in Year 1, rising to ~16.5% in Year 7, ~73.5% cumulative) reflects that general pattern,</t>
  </si>
  <si>
    <t xml:space="preserve">  split roughly 45/55 between AMC and Spares. Replace it with Measure DI's own historical AMC/Spares billing</t>
  </si>
  <si>
    <t xml:space="preserve">  data as soon as that is available, for a far more accurate forecast.</t>
  </si>
  <si>
    <t xml:space="preserve">AMC &amp; Spare Parts — Year 1–7 Opportunity % of Original Product Billed Value</t>
  </si>
  <si>
    <t xml:space="preserve">Editable assumption — see "Read Me" tab for methodology. Adjust once real AMC/Spares billing history is available.</t>
  </si>
  <si>
    <t xml:space="preserve">Year After Sale</t>
  </si>
  <si>
    <t xml:space="preserve">AMC Opportunity (% of Product Value)</t>
  </si>
  <si>
    <t xml:space="preserve">Spares Opportunity (% of Product Value)</t>
  </si>
  <si>
    <t xml:space="preserve">Combined Aftermarket Opportunity (%)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</si>
  <si>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</si>
  <si>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</si>
  <si>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</si>
  <si>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</si>
  <si>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</si>
  <si>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</si>
  <si>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</si>
  <si>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7-Year Cumulative</t>
  </si>
  <si>
    <t xml:space="preserve">#</t>
  </si>
  <si>
    <t xml:space="preserve">Client Name</t>
  </si>
  <si>
    <t xml:space="preserve">Product / Equipment Description</t>
  </si>
  <si>
    <t xml:space="preserve">Segment (as per source)</t>
  </si>
  <si>
    <t xml:space="preserve">Product Billed Value (INR)</t>
  </si>
  <si>
    <t xml:space="preserve">Installation Year</t>
  </si>
  <si>
    <t xml:space="preserve">Warranty Status</t>
  </si>
  <si>
    <t xml:space="preserve">Jindal Steel &amp; Power Limited</t>
  </si>
  <si>
    <t xml:space="preserve">Wagon Bulge</t>
  </si>
  <si>
    <t xml:space="preserve">Spare</t>
  </si>
  <si>
    <t xml:space="preserve">ISMT LIMITED</t>
  </si>
  <si>
    <t xml:space="preserve">100 Ton Ladle Transfer Car Weighing System</t>
  </si>
  <si>
    <t xml:space="preserve">NTPC</t>
  </si>
  <si>
    <t xml:space="preserve">STATIC WEIGH BRIDGES</t>
  </si>
  <si>
    <t xml:space="preserve">MAgna Casting &amp; Machine Works Pvt</t>
  </si>
  <si>
    <t xml:space="preserve">50 Ton Ladle Transfer Car Weighing System</t>
  </si>
  <si>
    <t xml:space="preserve">Tata Steel Long products limited</t>
  </si>
  <si>
    <t xml:space="preserve">WEIGHBRIDGE STRUCTURE,100 MT,18X3M</t>
  </si>
  <si>
    <t xml:space="preserve">Hospet Steels Limited</t>
  </si>
  <si>
    <t xml:space="preserve">Hot metal weighing system 100 ton</t>
  </si>
  <si>
    <t xml:space="preserve">COIL WEIGHING SYSTEM- 5MT</t>
  </si>
  <si>
    <t xml:space="preserve">JAYASWAL NECO INDUSTRIES LIMITED</t>
  </si>
  <si>
    <t xml:space="preserve">TUNDISH WEIGHING SYSTEM</t>
  </si>
  <si>
    <t xml:space="preserve">TUNDISH CAR WEIGHING SYSTEM</t>
  </si>
  <si>
    <t xml:space="preserve">FRIGATE TEKNOLOGIES PRIVATE LIMITED</t>
  </si>
  <si>
    <t xml:space="preserve">Rail Static weigh Bridge</t>
  </si>
  <si>
    <t xml:space="preserve">NTPC solapur</t>
  </si>
  <si>
    <t xml:space="preserve">Rail Static Weighing System</t>
  </si>
  <si>
    <t xml:space="preserve">BAJAJ MUKAND LTD</t>
  </si>
  <si>
    <t xml:space="preserve">BILLET WEIGHING SYSTEM 3 TON</t>
  </si>
  <si>
    <t xml:space="preserve">JSL</t>
  </si>
  <si>
    <t xml:space="preserve">Ultratech Maihar</t>
  </si>
  <si>
    <t xml:space="preserve">Road Weigh Bridge</t>
  </si>
  <si>
    <t xml:space="preserve">Synergy Steel ltd</t>
  </si>
  <si>
    <t xml:space="preserve">LAdle Weighing system</t>
  </si>
  <si>
    <t xml:space="preserve">JINDAL STAINLESS LIMITED</t>
  </si>
  <si>
    <t xml:space="preserve">Crane scale</t>
  </si>
  <si>
    <t xml:space="preserve">Yash Trading Co</t>
  </si>
  <si>
    <t xml:space="preserve">Wegan tipler</t>
  </si>
  <si>
    <t xml:space="preserve">Tata Steel Ltd</t>
  </si>
  <si>
    <t xml:space="preserve">BAR Scale</t>
  </si>
  <si>
    <t xml:space="preserve">Bin weighing System</t>
  </si>
  <si>
    <t xml:space="preserve">JSW BPSL</t>
  </si>
  <si>
    <t xml:space="preserve">Ultratech Cement Limited</t>
  </si>
  <si>
    <t xml:space="preserve">Unmanned weighbridge</t>
  </si>
  <si>
    <t xml:space="preserve">JAKSON GREEN PVT LTD</t>
  </si>
  <si>
    <t xml:space="preserve">Axle weighing pad</t>
  </si>
  <si>
    <t xml:space="preserve">Crane Scale 60T &amp; 40 T - 1 No each</t>
  </si>
  <si>
    <t xml:space="preserve">Pitless Road Weigh Bridge</t>
  </si>
  <si>
    <t xml:space="preserve">Ultratech Maihar Cement</t>
  </si>
  <si>
    <t xml:space="preserve">Bhushan Power &amp; Steel Ltd</t>
  </si>
  <si>
    <t xml:space="preserve">Ladle Weigh bridge</t>
  </si>
  <si>
    <t xml:space="preserve">Bhilai Steel plant</t>
  </si>
  <si>
    <t xml:space="preserve">Bloom Weighig System</t>
  </si>
  <si>
    <t xml:space="preserve">Jakson group</t>
  </si>
  <si>
    <t xml:space="preserve">JSW Bellary</t>
  </si>
  <si>
    <t xml:space="preserve">Wagon Tippler Weighing system</t>
  </si>
  <si>
    <t xml:space="preserve">Vizag STeel Plant</t>
  </si>
  <si>
    <t xml:space="preserve">CRANE WEIGHING TRANSMISSION</t>
  </si>
  <si>
    <t xml:space="preserve">PARANTHAMAN EXPORTERS</t>
  </si>
  <si>
    <t xml:space="preserve">AXLE WEIGHING SYSTEM AND STEEL RAMP</t>
  </si>
  <si>
    <t xml:space="preserve">Bhushan Power &amp; Steel Limited</t>
  </si>
  <si>
    <t xml:space="preserve">HOPR WEIGHING system</t>
  </si>
  <si>
    <t xml:space="preserve">EVONITH METALLICS LIMITED</t>
  </si>
  <si>
    <t xml:space="preserve">Ladle Weighing system</t>
  </si>
  <si>
    <t xml:space="preserve">JSW Steel Limited</t>
  </si>
  <si>
    <t xml:space="preserve">Hot metal transfer car weighing system 300 T</t>
  </si>
  <si>
    <t xml:space="preserve">Neco Mining Company Private Limited</t>
  </si>
  <si>
    <t xml:space="preserve">HOPPER WEIGHING SYSTEM -300T</t>
  </si>
  <si>
    <t xml:space="preserve">EVONITH VALUE STEEL LIMITED</t>
  </si>
  <si>
    <t xml:space="preserve">SAP integration charges along with service engineer service charges</t>
  </si>
  <si>
    <t xml:space="preserve">Ultratech Cement Ltd, Unit- Maihar cement works</t>
  </si>
  <si>
    <t xml:space="preserve">(Product description not provided in source - confirm)</t>
  </si>
  <si>
    <t xml:space="preserve">Junction Box</t>
  </si>
  <si>
    <t xml:space="preserve">Evonith Steel Complex</t>
  </si>
  <si>
    <t xml:space="preserve">Spare for Crane Scale</t>
  </si>
  <si>
    <t xml:space="preserve">JSW Steel Ltd.</t>
  </si>
  <si>
    <t xml:space="preserve">CONTROLLER &amp; LOAD CELL</t>
  </si>
  <si>
    <t xml:space="preserve">Bin Load cell and Controller</t>
  </si>
  <si>
    <t xml:space="preserve">JSW STEEL-SALEM</t>
  </si>
  <si>
    <t xml:space="preserve">SPARE For WAGON TIPPLER</t>
  </si>
  <si>
    <t xml:space="preserve">Balaji Engineers &amp; Contractors.</t>
  </si>
  <si>
    <t xml:space="preserve">6 TON WEIGH SCALE SPARRE</t>
  </si>
  <si>
    <t xml:space="preserve">ELECTRO PNEUMATICS AND HYDRAULICS (INDIA) PVT LTD</t>
  </si>
  <si>
    <t xml:space="preserve">Load cell required for existing weighing system of Wagon Tipplers</t>
  </si>
  <si>
    <t xml:space="preserve">Weigh bridges Spare</t>
  </si>
  <si>
    <t xml:space="preserve">SPARE OFFER FOR STEEL RAIL WEIGHING SYSTEM</t>
  </si>
  <si>
    <t xml:space="preserve">Kirloskar Ferrous Industries Ltd Steel Plant</t>
  </si>
  <si>
    <t xml:space="preserve">LOAD CELL SPARES OFFER FOR 200-TON LADLE WEIGH BRIDGE</t>
  </si>
  <si>
    <t xml:space="preserve">TAMILIIADU CEMENTS CORPORATION LTD</t>
  </si>
  <si>
    <t xml:space="preserve">Spares For Bloom Weighing System</t>
  </si>
  <si>
    <t xml:space="preserve">JSW JFE Steel Limited</t>
  </si>
  <si>
    <t xml:space="preserve">in motion Weighbridge</t>
  </si>
  <si>
    <t xml:space="preserve">Load Cell signal monitoring system</t>
  </si>
  <si>
    <t xml:space="preserve">Synergy Steels Limited</t>
  </si>
  <si>
    <t xml:space="preserve">SPARE FOR PITLESS WAGON TIPPLER WEIGHING SYSTEM</t>
  </si>
  <si>
    <t xml:space="preserve">adani gondia</t>
  </si>
  <si>
    <t xml:space="preserve">Load Sensor</t>
  </si>
  <si>
    <t xml:space="preserve">(Client name not provided in source - confirm)</t>
  </si>
  <si>
    <t xml:space="preserve">8 no load cell</t>
  </si>
  <si>
    <t xml:space="preserve">AMC Opportunity %</t>
  </si>
  <si>
    <t xml:space="preserve">AMC Opportunity Value (INR)</t>
  </si>
  <si>
    <t xml:space="preserve">Spares Opportunity %</t>
  </si>
  <si>
    <t xml:space="preserve">Spares Opportunity Value (INR)</t>
  </si>
  <si>
    <t xml:space="preserve">Total Aftermarket Opportunity (INR)</t>
  </si>
  <si>
    <t xml:space="preserve">Number of Products</t>
  </si>
  <si>
    <t xml:space="preserve">Total Billed Value (INR)</t>
  </si>
  <si>
    <t xml:space="preserve">Total 7-Yr AMC Opportunity (INR)</t>
  </si>
  <si>
    <t xml:space="preserve">Total 7-Yr Spares Opportunity (INR)</t>
  </si>
  <si>
    <t xml:space="preserve">Total 7-Yr Aftermarket Opportunity (INR)</t>
  </si>
  <si>
    <t xml:space="preserve">GRAND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</si>
</sst>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₹#,##0;&quot;(₹&quot;#,##0\);\-"/>
    <numFmt numFmtId="167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 t="s">
        <v>26</v>
      </c>
    </row>
    <row r="32" customFormat="false" ht="15" hidden="false" customHeight="false" outlineLevel="0" collapsed="false">
      <c r="A32" s="3" t="s">
        <v>27</v>
      </c>
    </row>
    <row r="33" customFormat="false" ht="15" hidden="false" customHeight="false" outlineLevel="0" collapsed="false">
      <c r="A33" s="3" t="s">
        <v>28</v>
      </c>
    </row>
    <row r="34" customFormat="false" ht="15" hidden="false" customHeight="false" outlineLevel="0" collapsed="false">
      <c r="A34" s="3" t="s">
        <v>29</v>
      </c>
    </row>
    <row r="35" customFormat="false" ht="15" hidden="false" customHeight="false" outlineLevel="0" collapsed="false">
      <c r="A35" s="3" t="s">
        <v>30</v>
      </c>
    </row>
    <row r="36" customFormat="false" ht="15" hidden="false" customHeight="false" outlineLevel="0" collapsed="false">
      <c r="A36" s="3" t="s">
        <v>31</v>
      </c>
    </row>
    <row r="37" customFormat="false" ht="15" hidden="false" customHeight="false" outlineLevel="0" collapsed="false">
      <c r="A37" s="3" t="s">
        <v>32</v>
      </c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4" t="s">
        <v>33</v>
      </c>
    </row>
    <row r="40" customFormat="false" ht="15" hidden="false" customHeight="false" outlineLevel="0" collapsed="false">
      <c r="A40" s="3" t="s">
        <v>34</v>
      </c>
    </row>
    <row r="41" customFormat="false" ht="15" hidden="false" customHeight="false" outlineLevel="0" collapsed="false">
      <c r="A41" s="3" t="s">
        <v>35</v>
      </c>
    </row>
    <row r="42" customFormat="false" ht="15" hidden="false" customHeight="false" outlineLevel="0" collapsed="false">
      <c r="A42" s="3" t="s">
        <v>36</v>
      </c>
    </row>
    <row r="43" customFormat="false" ht="15" hidden="false" customHeight="false" outlineLevel="0" collapsed="false">
      <c r="A43" s="3" t="s">
        <v>37</v>
      </c>
    </row>
    <row r="44" customFormat="false" ht="15" hidden="false" customHeight="false" outlineLevel="0" collapsed="false">
      <c r="A44" s="3" t="s">
        <v>38</v>
      </c>
    </row>
    <row r="45" customFormat="false" ht="15" hidden="false" customHeight="false" outlineLevel="0" collapsed="false">
      <c r="A45" s="3" t="s">
        <v>39</v>
      </c>
    </row>
    <row r="46" customFormat="false" ht="15" hidden="false" customHeight="false" outlineLevel="0" collapsed="false">
      <c r="A46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30"/>
  </cols>
  <sheetData>
    <row r="1" customFormat="false" ht="16.15" hidden="false" customHeight="false" outlineLevel="0" collapsed="false">
      <c r="A1" s="5" t="s">
        <v>41</v>
      </c>
      <c r="B1" s="5"/>
      <c r="C1" s="5"/>
      <c r="D1" s="5"/>
    </row>
    <row r="2" customFormat="false" ht="15" hidden="false" customHeight="false" outlineLevel="0" collapsed="false">
      <c r="A2" s="6" t="s">
        <v>42</v>
      </c>
      <c r="B2" s="6"/>
      <c r="C2" s="6"/>
      <c r="D2" s="6"/>
    </row>
    <row r="4" customFormat="false" ht="23.85" hidden="false" customHeight="false" outlineLevel="0" collapsed="false">
      <c r="A4" s="7" t="s">
        <v>43</v>
      </c>
      <c r="B4" s="7" t="s">
        <v>44</v>
      </c>
      <c r="C4" s="7" t="s">
        <v>45</v>
      </c>
      <c r="D4" s="7" t="s">
        <v>46</v>
      </c>
    </row>
    <row r="5" customFormat="false" ht="15" hidden="false" customHeight="false" outlineLevel="0" collapsed="false">
      <c r="A5" s="8" t="s">
        <v>47</v>
      </c>
      <c r="B5" s="9" t="n">
        <v>0.015</v>
      </c>
      <c r="C5" s="9" t="n">
        <v>0.01</v>
      </c>
      <c r="D5" s="10" t="n">
        <f aca="false">B5+C5</f>
        <v>0.025</v>
      </c>
    </row>
    <row r="6" customFormat="false" ht="15" hidden="false" customHeight="false" outlineLevel="0" collapsed="false">
      <c r="A6" s="8" t="s">
        <v>48</v>
      </c>
      <c r="B6" s="9" t="n">
        <v>0.03</v>
      </c>
      <c r="C6" s="9" t="n">
        <v>0.025</v>
      </c>
      <c r="D6" s="10" t="n">
        <f aca="false">B6+C6</f>
        <v>0.055</v>
      </c>
    </row>
    <row r="7" customFormat="false" ht="15" hidden="false" customHeight="false" outlineLevel="0" collapsed="false">
      <c r="A7" s="8" t="s">
        <v>49</v>
      </c>
      <c r="B7" s="9" t="n">
        <v>0.045</v>
      </c>
      <c r="C7" s="9" t="n">
        <v>0.045</v>
      </c>
      <c r="D7" s="10" t="n">
        <f aca="false">B7+C7</f>
        <v>0.09</v>
      </c>
    </row>
    <row r="8" customFormat="false" ht="15" hidden="false" customHeight="false" outlineLevel="0" collapsed="false">
      <c r="A8" s="8" t="s">
        <v>50</v>
      </c>
      <c r="B8" s="9" t="n">
        <v>0.055</v>
      </c>
      <c r="C8" s="9" t="n">
        <v>0.06</v>
      </c>
      <c r="D8" s="10" t="n">
        <f aca="false">B8+C8</f>
        <v>0.115</v>
      </c>
    </row>
    <row r="9" customFormat="false" ht="15" hidden="false" customHeight="false" outlineLevel="0" collapsed="false">
      <c r="A9" s="8" t="s">
        <v>51</v>
      </c>
      <c r="B9" s="9" t="n">
        <v>0.06</v>
      </c>
      <c r="C9" s="9" t="n">
        <v>0.075</v>
      </c>
      <c r="D9" s="10" t="n">
        <f aca="false">B9+C9</f>
        <v>0.135</v>
      </c>
    </row>
    <row r="10" customFormat="false" ht="15" hidden="false" customHeight="false" outlineLevel="0" collapsed="false">
      <c r="A10" s="8" t="s">
        <v>52</v>
      </c>
      <c r="B10" s="9" t="n">
        <v>0.065</v>
      </c>
      <c r="C10" s="9" t="n">
        <v>0.085</v>
      </c>
      <c r="D10" s="10" t="n">
        <f aca="false">B10+C10</f>
        <v>0.15</v>
      </c>
    </row>
    <row r="11" customFormat="false" ht="15" hidden="false" customHeight="false" outlineLevel="0" collapsed="false">
      <c r="A11" s="8" t="s">
        <v>53</v>
      </c>
      <c r="B11" s="9" t="n">
        <v>0.07</v>
      </c>
      <c r="C11" s="9" t="n">
        <v>0.095</v>
      </c>
      <c r="D11" s="10" t="n">
        <f aca="false">B11+C11</f>
        <v>0.165</v>
      </c>
    </row>
    <row r="12" customFormat="false" ht="15" hidden="false" customHeight="false" outlineLevel="0" collapsed="false">
      <c r="A12" s="11" t="s">
        <v>54</v>
      </c>
      <c r="B12" s="12" t="n">
        <f aca="false">SUM(B5:B11)</f>
        <v>0.34</v>
      </c>
      <c r="C12" s="12" t="n">
        <f aca="false">SUM(C5:C11)</f>
        <v>0.395</v>
      </c>
      <c r="D12" s="12" t="n">
        <f aca="false">SUM(D5:D11)</f>
        <v>0.735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4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7" min="6" style="0" width="16"/>
  </cols>
  <sheetData>
    <row r="1" customFormat="false" ht="35.05" hidden="false" customHeight="false" outlineLevel="0" collapsed="false">
      <c r="A1" s="7" t="s">
        <v>55</v>
      </c>
      <c r="B1" s="7" t="s">
        <v>56</v>
      </c>
      <c r="C1" s="7" t="s">
        <v>57</v>
      </c>
      <c r="D1" s="7" t="s">
        <v>58</v>
      </c>
      <c r="E1" s="7" t="s">
        <v>59</v>
      </c>
      <c r="F1" s="7" t="s">
        <v>60</v>
      </c>
      <c r="G1" s="7" t="s">
        <v>61</v>
      </c>
    </row>
    <row r="2" customFormat="false" ht="15" hidden="false" customHeight="false" outlineLevel="0" collapsed="false">
      <c r="A2" s="8" t="n">
        <v>1</v>
      </c>
      <c r="B2" s="13" t="s">
        <v>62</v>
      </c>
      <c r="C2" s="13" t="s">
        <v>63</v>
      </c>
      <c r="D2" s="14" t="s">
        <v>64</v>
      </c>
      <c r="E2" s="15"/>
      <c r="F2" s="16"/>
      <c r="G2" s="16"/>
    </row>
    <row r="3" customFormat="false" ht="15" hidden="false" customHeight="false" outlineLevel="0" collapsed="false">
      <c r="A3" s="8" t="n">
        <v>2</v>
      </c>
      <c r="B3" s="13" t="s">
        <v>65</v>
      </c>
      <c r="C3" s="13" t="s">
        <v>66</v>
      </c>
      <c r="D3" s="14" t="s">
        <v>64</v>
      </c>
      <c r="E3" s="15"/>
      <c r="F3" s="16"/>
      <c r="G3" s="16"/>
    </row>
    <row r="4" customFormat="false" ht="15" hidden="false" customHeight="false" outlineLevel="0" collapsed="false">
      <c r="A4" s="8" t="n">
        <v>3</v>
      </c>
      <c r="B4" s="13" t="s">
        <v>67</v>
      </c>
      <c r="C4" s="13" t="s">
        <v>68</v>
      </c>
      <c r="D4" s="14" t="s">
        <v>64</v>
      </c>
      <c r="E4" s="15"/>
      <c r="F4" s="16"/>
      <c r="G4" s="16"/>
    </row>
    <row r="5" customFormat="false" ht="15" hidden="false" customHeight="false" outlineLevel="0" collapsed="false">
      <c r="A5" s="8" t="n">
        <v>4</v>
      </c>
      <c r="B5" s="13" t="s">
        <v>69</v>
      </c>
      <c r="C5" s="13" t="s">
        <v>70</v>
      </c>
      <c r="D5" s="14" t="s">
        <v>64</v>
      </c>
      <c r="E5" s="15"/>
      <c r="F5" s="16"/>
      <c r="G5" s="16"/>
    </row>
    <row r="6" customFormat="false" ht="15" hidden="false" customHeight="false" outlineLevel="0" collapsed="false">
      <c r="A6" s="8" t="n">
        <v>5</v>
      </c>
      <c r="B6" s="13" t="s">
        <v>71</v>
      </c>
      <c r="C6" s="13" t="s">
        <v>72</v>
      </c>
      <c r="D6" s="14" t="s">
        <v>64</v>
      </c>
      <c r="E6" s="15"/>
      <c r="F6" s="16"/>
      <c r="G6" s="16"/>
    </row>
    <row r="7" customFormat="false" ht="15" hidden="false" customHeight="false" outlineLevel="0" collapsed="false">
      <c r="A7" s="8" t="n">
        <v>6</v>
      </c>
      <c r="B7" s="13" t="s">
        <v>73</v>
      </c>
      <c r="C7" s="13" t="s">
        <v>74</v>
      </c>
      <c r="D7" s="14" t="s">
        <v>64</v>
      </c>
      <c r="E7" s="15"/>
      <c r="F7" s="16"/>
      <c r="G7" s="16"/>
    </row>
    <row r="8" customFormat="false" ht="15" hidden="false" customHeight="false" outlineLevel="0" collapsed="false">
      <c r="A8" s="8" t="n">
        <v>7</v>
      </c>
      <c r="B8" s="13" t="s">
        <v>71</v>
      </c>
      <c r="C8" s="13" t="s">
        <v>75</v>
      </c>
      <c r="D8" s="14" t="s">
        <v>64</v>
      </c>
      <c r="E8" s="15"/>
      <c r="F8" s="16"/>
      <c r="G8" s="16"/>
    </row>
    <row r="9" customFormat="false" ht="15" hidden="false" customHeight="false" outlineLevel="0" collapsed="false">
      <c r="A9" s="8" t="n">
        <v>8</v>
      </c>
      <c r="B9" s="13" t="s">
        <v>76</v>
      </c>
      <c r="C9" s="13" t="s">
        <v>77</v>
      </c>
      <c r="D9" s="14" t="s">
        <v>64</v>
      </c>
      <c r="E9" s="15"/>
      <c r="F9" s="16"/>
      <c r="G9" s="16"/>
    </row>
    <row r="10" customFormat="false" ht="15" hidden="false" customHeight="false" outlineLevel="0" collapsed="false">
      <c r="A10" s="8" t="n">
        <v>9</v>
      </c>
      <c r="B10" s="13" t="s">
        <v>76</v>
      </c>
      <c r="C10" s="13" t="s">
        <v>78</v>
      </c>
      <c r="D10" s="14" t="s">
        <v>64</v>
      </c>
      <c r="E10" s="15"/>
      <c r="F10" s="16"/>
      <c r="G10" s="16"/>
    </row>
    <row r="11" customFormat="false" ht="15" hidden="false" customHeight="false" outlineLevel="0" collapsed="false">
      <c r="A11" s="8" t="n">
        <v>10</v>
      </c>
      <c r="B11" s="13" t="s">
        <v>79</v>
      </c>
      <c r="C11" s="13" t="s">
        <v>80</v>
      </c>
      <c r="D11" s="14" t="s">
        <v>64</v>
      </c>
      <c r="E11" s="15"/>
      <c r="F11" s="16"/>
      <c r="G11" s="16"/>
    </row>
    <row r="12" customFormat="false" ht="15" hidden="false" customHeight="false" outlineLevel="0" collapsed="false">
      <c r="A12" s="8" t="n">
        <v>11</v>
      </c>
      <c r="B12" s="13" t="s">
        <v>81</v>
      </c>
      <c r="C12" s="13" t="s">
        <v>82</v>
      </c>
      <c r="D12" s="14" t="s">
        <v>64</v>
      </c>
      <c r="E12" s="15"/>
      <c r="F12" s="16"/>
      <c r="G12" s="16"/>
    </row>
    <row r="13" customFormat="false" ht="15" hidden="false" customHeight="false" outlineLevel="0" collapsed="false">
      <c r="A13" s="8" t="n">
        <v>12</v>
      </c>
      <c r="B13" s="13" t="s">
        <v>83</v>
      </c>
      <c r="C13" s="13" t="s">
        <v>84</v>
      </c>
      <c r="D13" s="14" t="s">
        <v>64</v>
      </c>
      <c r="E13" s="15"/>
      <c r="F13" s="16"/>
      <c r="G13" s="16"/>
    </row>
    <row r="14" customFormat="false" ht="15" hidden="false" customHeight="false" outlineLevel="0" collapsed="false">
      <c r="A14" s="8" t="n">
        <v>13</v>
      </c>
      <c r="B14" s="13" t="s">
        <v>85</v>
      </c>
      <c r="C14" s="13" t="s">
        <v>84</v>
      </c>
      <c r="D14" s="14" t="s">
        <v>64</v>
      </c>
      <c r="E14" s="15"/>
      <c r="F14" s="16"/>
      <c r="G14" s="16"/>
    </row>
    <row r="15" customFormat="false" ht="15" hidden="false" customHeight="false" outlineLevel="0" collapsed="false">
      <c r="A15" s="8" t="n">
        <v>14</v>
      </c>
      <c r="B15" s="13" t="s">
        <v>86</v>
      </c>
      <c r="C15" s="13" t="s">
        <v>87</v>
      </c>
      <c r="D15" s="14" t="s">
        <v>64</v>
      </c>
      <c r="E15" s="15"/>
      <c r="F15" s="16"/>
      <c r="G15" s="16"/>
    </row>
    <row r="16" customFormat="false" ht="15" hidden="false" customHeight="false" outlineLevel="0" collapsed="false">
      <c r="A16" s="8" t="n">
        <v>15</v>
      </c>
      <c r="B16" s="13" t="s">
        <v>88</v>
      </c>
      <c r="C16" s="13" t="s">
        <v>89</v>
      </c>
      <c r="D16" s="14" t="s">
        <v>64</v>
      </c>
      <c r="E16" s="15"/>
      <c r="F16" s="16"/>
      <c r="G16" s="16"/>
    </row>
    <row r="17" customFormat="false" ht="15" hidden="false" customHeight="false" outlineLevel="0" collapsed="false">
      <c r="A17" s="8" t="n">
        <v>16</v>
      </c>
      <c r="B17" s="13" t="s">
        <v>90</v>
      </c>
      <c r="C17" s="13" t="s">
        <v>91</v>
      </c>
      <c r="D17" s="14" t="s">
        <v>64</v>
      </c>
      <c r="E17" s="15"/>
      <c r="F17" s="16"/>
      <c r="G17" s="16"/>
    </row>
    <row r="18" customFormat="false" ht="15" hidden="false" customHeight="false" outlineLevel="0" collapsed="false">
      <c r="A18" s="8" t="n">
        <v>17</v>
      </c>
      <c r="B18" s="13" t="s">
        <v>92</v>
      </c>
      <c r="C18" s="13" t="s">
        <v>93</v>
      </c>
      <c r="D18" s="14" t="s">
        <v>64</v>
      </c>
      <c r="E18" s="15"/>
      <c r="F18" s="16"/>
      <c r="G18" s="16"/>
    </row>
    <row r="19" customFormat="false" ht="15" hidden="false" customHeight="false" outlineLevel="0" collapsed="false">
      <c r="A19" s="8" t="n">
        <v>18</v>
      </c>
      <c r="B19" s="13" t="s">
        <v>94</v>
      </c>
      <c r="C19" s="13" t="s">
        <v>95</v>
      </c>
      <c r="D19" s="14" t="s">
        <v>64</v>
      </c>
      <c r="E19" s="15"/>
      <c r="F19" s="16"/>
      <c r="G19" s="16"/>
    </row>
    <row r="20" customFormat="false" ht="15" hidden="false" customHeight="false" outlineLevel="0" collapsed="false">
      <c r="A20" s="8" t="n">
        <v>19</v>
      </c>
      <c r="B20" s="13" t="s">
        <v>85</v>
      </c>
      <c r="C20" s="13" t="s">
        <v>96</v>
      </c>
      <c r="D20" s="14" t="s">
        <v>64</v>
      </c>
      <c r="E20" s="15"/>
      <c r="F20" s="16"/>
      <c r="G20" s="16"/>
    </row>
    <row r="21" customFormat="false" ht="15" hidden="false" customHeight="false" outlineLevel="0" collapsed="false">
      <c r="A21" s="8" t="n">
        <v>20</v>
      </c>
      <c r="B21" s="13" t="s">
        <v>97</v>
      </c>
      <c r="C21" s="13" t="s">
        <v>96</v>
      </c>
      <c r="D21" s="14" t="s">
        <v>64</v>
      </c>
      <c r="E21" s="15"/>
      <c r="F21" s="16"/>
      <c r="G21" s="16"/>
    </row>
    <row r="22" customFormat="false" ht="15" hidden="false" customHeight="false" outlineLevel="0" collapsed="false">
      <c r="A22" s="8" t="n">
        <v>21</v>
      </c>
      <c r="B22" s="13" t="s">
        <v>98</v>
      </c>
      <c r="C22" s="13" t="s">
        <v>99</v>
      </c>
      <c r="D22" s="14" t="s">
        <v>64</v>
      </c>
      <c r="E22" s="15"/>
      <c r="F22" s="16"/>
      <c r="G22" s="16"/>
    </row>
    <row r="23" customFormat="false" ht="15" hidden="false" customHeight="false" outlineLevel="0" collapsed="false">
      <c r="A23" s="8" t="n">
        <v>22</v>
      </c>
      <c r="B23" s="13" t="s">
        <v>100</v>
      </c>
      <c r="C23" s="13" t="s">
        <v>101</v>
      </c>
      <c r="D23" s="14" t="s">
        <v>64</v>
      </c>
      <c r="E23" s="15"/>
      <c r="F23" s="16"/>
      <c r="G23" s="16"/>
    </row>
    <row r="24" customFormat="false" ht="15" hidden="false" customHeight="false" outlineLevel="0" collapsed="false">
      <c r="A24" s="8" t="n">
        <v>23</v>
      </c>
      <c r="B24" s="13" t="s">
        <v>90</v>
      </c>
      <c r="C24" s="13" t="s">
        <v>102</v>
      </c>
      <c r="D24" s="14" t="s">
        <v>64</v>
      </c>
      <c r="E24" s="15"/>
      <c r="F24" s="16"/>
      <c r="G24" s="16"/>
    </row>
    <row r="25" customFormat="false" ht="15" hidden="false" customHeight="false" outlineLevel="0" collapsed="false">
      <c r="A25" s="8" t="n">
        <v>24</v>
      </c>
      <c r="B25" s="13" t="s">
        <v>94</v>
      </c>
      <c r="C25" s="13" t="s">
        <v>103</v>
      </c>
      <c r="D25" s="14" t="s">
        <v>64</v>
      </c>
      <c r="E25" s="15"/>
      <c r="F25" s="16"/>
      <c r="G25" s="16"/>
    </row>
    <row r="26" customFormat="false" ht="15" hidden="false" customHeight="false" outlineLevel="0" collapsed="false">
      <c r="A26" s="8" t="n">
        <v>25</v>
      </c>
      <c r="B26" s="13" t="s">
        <v>104</v>
      </c>
      <c r="C26" s="13" t="s">
        <v>64</v>
      </c>
      <c r="D26" s="14" t="s">
        <v>64</v>
      </c>
      <c r="E26" s="15"/>
      <c r="F26" s="16"/>
      <c r="G26" s="16"/>
    </row>
    <row r="27" customFormat="false" ht="15" hidden="false" customHeight="false" outlineLevel="0" collapsed="false">
      <c r="A27" s="8" t="n">
        <v>26</v>
      </c>
      <c r="B27" s="13" t="s">
        <v>105</v>
      </c>
      <c r="C27" s="13" t="s">
        <v>106</v>
      </c>
      <c r="D27" s="14" t="s">
        <v>64</v>
      </c>
      <c r="E27" s="15"/>
      <c r="F27" s="16"/>
      <c r="G27" s="16"/>
    </row>
    <row r="28" customFormat="false" ht="15" hidden="false" customHeight="false" outlineLevel="0" collapsed="false">
      <c r="A28" s="8" t="n">
        <v>27</v>
      </c>
      <c r="B28" s="13" t="s">
        <v>107</v>
      </c>
      <c r="C28" s="13" t="s">
        <v>108</v>
      </c>
      <c r="D28" s="14" t="s">
        <v>64</v>
      </c>
      <c r="E28" s="15"/>
      <c r="F28" s="16"/>
      <c r="G28" s="16"/>
    </row>
    <row r="29" customFormat="false" ht="15" hidden="false" customHeight="false" outlineLevel="0" collapsed="false">
      <c r="A29" s="8" t="n">
        <v>28</v>
      </c>
      <c r="B29" s="13" t="s">
        <v>109</v>
      </c>
      <c r="C29" s="13" t="s">
        <v>101</v>
      </c>
      <c r="D29" s="14" t="s">
        <v>64</v>
      </c>
      <c r="E29" s="15"/>
      <c r="F29" s="16"/>
      <c r="G29" s="16"/>
    </row>
    <row r="30" customFormat="false" ht="15" hidden="false" customHeight="false" outlineLevel="0" collapsed="false">
      <c r="A30" s="8" t="n">
        <v>29</v>
      </c>
      <c r="B30" s="13" t="s">
        <v>110</v>
      </c>
      <c r="C30" s="13" t="s">
        <v>111</v>
      </c>
      <c r="D30" s="14" t="s">
        <v>64</v>
      </c>
      <c r="E30" s="15"/>
      <c r="F30" s="16"/>
      <c r="G30" s="16"/>
    </row>
    <row r="31" customFormat="false" ht="15" hidden="false" customHeight="false" outlineLevel="0" collapsed="false">
      <c r="A31" s="8" t="n">
        <v>30</v>
      </c>
      <c r="B31" s="13" t="s">
        <v>92</v>
      </c>
      <c r="C31" s="13" t="s">
        <v>111</v>
      </c>
      <c r="D31" s="14" t="s">
        <v>64</v>
      </c>
      <c r="E31" s="15"/>
      <c r="F31" s="16"/>
      <c r="G31" s="16"/>
    </row>
    <row r="32" customFormat="false" ht="15" hidden="false" customHeight="false" outlineLevel="0" collapsed="false">
      <c r="A32" s="8" t="n">
        <v>31</v>
      </c>
      <c r="B32" s="13" t="s">
        <v>112</v>
      </c>
      <c r="C32" s="13" t="s">
        <v>113</v>
      </c>
      <c r="D32" s="14" t="s">
        <v>64</v>
      </c>
      <c r="E32" s="15"/>
      <c r="F32" s="16"/>
      <c r="G32" s="16"/>
    </row>
    <row r="33" customFormat="false" ht="15" hidden="false" customHeight="false" outlineLevel="0" collapsed="false">
      <c r="A33" s="8" t="n">
        <v>32</v>
      </c>
      <c r="B33" s="13" t="s">
        <v>114</v>
      </c>
      <c r="C33" s="13" t="s">
        <v>115</v>
      </c>
      <c r="D33" s="14" t="s">
        <v>64</v>
      </c>
      <c r="E33" s="15"/>
      <c r="F33" s="16"/>
      <c r="G33" s="16"/>
    </row>
    <row r="34" customFormat="false" ht="15" hidden="false" customHeight="false" outlineLevel="0" collapsed="false">
      <c r="A34" s="8" t="n">
        <v>33</v>
      </c>
      <c r="B34" s="13" t="s">
        <v>116</v>
      </c>
      <c r="C34" s="13" t="s">
        <v>117</v>
      </c>
      <c r="D34" s="14" t="s">
        <v>64</v>
      </c>
      <c r="E34" s="15"/>
      <c r="F34" s="16"/>
      <c r="G34" s="16"/>
    </row>
    <row r="35" customFormat="false" ht="15" hidden="false" customHeight="false" outlineLevel="0" collapsed="false">
      <c r="A35" s="8" t="n">
        <v>34</v>
      </c>
      <c r="B35" s="13" t="s">
        <v>118</v>
      </c>
      <c r="C35" s="13" t="s">
        <v>119</v>
      </c>
      <c r="D35" s="14" t="s">
        <v>64</v>
      </c>
      <c r="E35" s="15"/>
      <c r="F35" s="16"/>
      <c r="G35" s="16"/>
    </row>
    <row r="36" customFormat="false" ht="15" hidden="false" customHeight="false" outlineLevel="0" collapsed="false">
      <c r="A36" s="8" t="n">
        <v>35</v>
      </c>
      <c r="B36" s="13" t="s">
        <v>120</v>
      </c>
      <c r="C36" s="13" t="s">
        <v>121</v>
      </c>
      <c r="D36" s="14" t="s">
        <v>64</v>
      </c>
      <c r="E36" s="15"/>
      <c r="F36" s="16"/>
      <c r="G36" s="16"/>
    </row>
    <row r="37" customFormat="false" ht="15" hidden="false" customHeight="false" outlineLevel="0" collapsed="false">
      <c r="A37" s="8" t="n">
        <v>36</v>
      </c>
      <c r="B37" s="13" t="s">
        <v>122</v>
      </c>
      <c r="C37" s="13" t="s">
        <v>123</v>
      </c>
      <c r="D37" s="14" t="s">
        <v>64</v>
      </c>
      <c r="E37" s="15"/>
      <c r="F37" s="16"/>
      <c r="G37" s="16"/>
    </row>
    <row r="38" customFormat="false" ht="15" hidden="false" customHeight="false" outlineLevel="0" collapsed="false">
      <c r="A38" s="8" t="n">
        <v>37</v>
      </c>
      <c r="B38" s="13" t="s">
        <v>124</v>
      </c>
      <c r="C38" s="13" t="s">
        <v>125</v>
      </c>
      <c r="D38" s="14" t="s">
        <v>64</v>
      </c>
      <c r="E38" s="15"/>
      <c r="F38" s="16"/>
      <c r="G38" s="16"/>
    </row>
    <row r="39" customFormat="false" ht="15" hidden="false" customHeight="false" outlineLevel="0" collapsed="false">
      <c r="A39" s="8" t="n">
        <v>38</v>
      </c>
      <c r="B39" s="13" t="s">
        <v>126</v>
      </c>
      <c r="C39" s="17" t="s">
        <v>127</v>
      </c>
      <c r="D39" s="14" t="s">
        <v>64</v>
      </c>
      <c r="E39" s="18" t="n">
        <v>550000</v>
      </c>
      <c r="F39" s="16"/>
      <c r="G39" s="16"/>
    </row>
    <row r="40" customFormat="false" ht="15" hidden="false" customHeight="false" outlineLevel="0" collapsed="false">
      <c r="A40" s="8" t="n">
        <v>39</v>
      </c>
      <c r="B40" s="13" t="s">
        <v>90</v>
      </c>
      <c r="C40" s="13" t="s">
        <v>128</v>
      </c>
      <c r="D40" s="14" t="s">
        <v>64</v>
      </c>
      <c r="E40" s="18" t="n">
        <v>22000</v>
      </c>
      <c r="F40" s="16"/>
      <c r="G40" s="16"/>
    </row>
    <row r="41" customFormat="false" ht="15" hidden="false" customHeight="false" outlineLevel="0" collapsed="false">
      <c r="A41" s="8" t="n">
        <v>40</v>
      </c>
      <c r="B41" s="13" t="s">
        <v>129</v>
      </c>
      <c r="C41" s="13" t="s">
        <v>130</v>
      </c>
      <c r="D41" s="14" t="s">
        <v>64</v>
      </c>
      <c r="E41" s="18" t="n">
        <v>295000</v>
      </c>
      <c r="F41" s="16"/>
      <c r="G41" s="16"/>
    </row>
    <row r="42" customFormat="false" ht="15" hidden="false" customHeight="false" outlineLevel="0" collapsed="false">
      <c r="A42" s="8" t="n">
        <v>41</v>
      </c>
      <c r="B42" s="13" t="s">
        <v>131</v>
      </c>
      <c r="C42" s="13" t="s">
        <v>132</v>
      </c>
      <c r="D42" s="14" t="s">
        <v>64</v>
      </c>
      <c r="E42" s="18" t="n">
        <v>113000</v>
      </c>
      <c r="F42" s="16"/>
      <c r="G42" s="16"/>
    </row>
    <row r="43" customFormat="false" ht="15" hidden="false" customHeight="false" outlineLevel="0" collapsed="false">
      <c r="A43" s="8" t="n">
        <v>42</v>
      </c>
      <c r="B43" s="13" t="s">
        <v>120</v>
      </c>
      <c r="C43" s="13" t="s">
        <v>133</v>
      </c>
      <c r="D43" s="14" t="s">
        <v>64</v>
      </c>
      <c r="E43" s="18" t="n">
        <v>90000</v>
      </c>
      <c r="F43" s="16"/>
      <c r="G43" s="16"/>
    </row>
    <row r="44" customFormat="false" ht="15" hidden="false" customHeight="false" outlineLevel="0" collapsed="false">
      <c r="A44" s="8" t="n">
        <v>43</v>
      </c>
      <c r="B44" s="13" t="s">
        <v>134</v>
      </c>
      <c r="C44" s="13" t="s">
        <v>135</v>
      </c>
      <c r="D44" s="14" t="s">
        <v>64</v>
      </c>
      <c r="E44" s="18" t="n">
        <v>930000</v>
      </c>
      <c r="F44" s="16"/>
      <c r="G44" s="16"/>
    </row>
    <row r="45" customFormat="false" ht="15" hidden="false" customHeight="false" outlineLevel="0" collapsed="false">
      <c r="A45" s="8" t="n">
        <v>44</v>
      </c>
      <c r="B45" s="13" t="s">
        <v>136</v>
      </c>
      <c r="C45" s="13" t="s">
        <v>137</v>
      </c>
      <c r="D45" s="14" t="s">
        <v>64</v>
      </c>
      <c r="E45" s="18" t="n">
        <v>333250</v>
      </c>
      <c r="F45" s="16"/>
      <c r="G45" s="16"/>
    </row>
    <row r="46" customFormat="false" ht="15" hidden="false" customHeight="false" outlineLevel="0" collapsed="false">
      <c r="A46" s="8" t="n">
        <v>45</v>
      </c>
      <c r="B46" s="13" t="s">
        <v>138</v>
      </c>
      <c r="C46" s="13" t="s">
        <v>139</v>
      </c>
      <c r="D46" s="14" t="s">
        <v>64</v>
      </c>
      <c r="E46" s="15"/>
      <c r="F46" s="16"/>
      <c r="G46" s="16"/>
    </row>
    <row r="47" customFormat="false" ht="15" hidden="false" customHeight="false" outlineLevel="0" collapsed="false">
      <c r="A47" s="8" t="n">
        <v>46</v>
      </c>
      <c r="B47" s="13" t="s">
        <v>120</v>
      </c>
      <c r="C47" s="13" t="s">
        <v>140</v>
      </c>
      <c r="D47" s="14" t="s">
        <v>64</v>
      </c>
      <c r="E47" s="15"/>
      <c r="F47" s="16"/>
      <c r="G47" s="16"/>
    </row>
    <row r="48" customFormat="false" ht="15" hidden="false" customHeight="false" outlineLevel="0" collapsed="false">
      <c r="A48" s="8" t="n">
        <v>47</v>
      </c>
      <c r="B48" s="13" t="s">
        <v>97</v>
      </c>
      <c r="C48" s="13" t="s">
        <v>141</v>
      </c>
      <c r="D48" s="14" t="s">
        <v>64</v>
      </c>
      <c r="E48" s="18" t="n">
        <v>870000</v>
      </c>
      <c r="F48" s="16"/>
      <c r="G48" s="16"/>
    </row>
    <row r="49" customFormat="false" ht="15" hidden="false" customHeight="false" outlineLevel="0" collapsed="false">
      <c r="A49" s="8" t="n">
        <v>48</v>
      </c>
      <c r="B49" s="13" t="s">
        <v>142</v>
      </c>
      <c r="C49" s="13" t="s">
        <v>143</v>
      </c>
      <c r="D49" s="14" t="s">
        <v>64</v>
      </c>
      <c r="E49" s="18" t="n">
        <v>400000</v>
      </c>
      <c r="F49" s="16"/>
      <c r="G49" s="16"/>
    </row>
    <row r="50" customFormat="false" ht="15" hidden="false" customHeight="false" outlineLevel="0" collapsed="false">
      <c r="A50" s="8" t="n">
        <v>49</v>
      </c>
      <c r="B50" s="13" t="s">
        <v>144</v>
      </c>
      <c r="C50" s="13" t="s">
        <v>145</v>
      </c>
      <c r="D50" s="14" t="s">
        <v>64</v>
      </c>
      <c r="E50" s="18" t="n">
        <v>675000</v>
      </c>
      <c r="F50" s="16"/>
      <c r="G50" s="16"/>
    </row>
    <row r="51" customFormat="false" ht="15" hidden="false" customHeight="false" outlineLevel="0" collapsed="false">
      <c r="A51" s="8" t="n">
        <v>50</v>
      </c>
      <c r="B51" s="13" t="s">
        <v>146</v>
      </c>
      <c r="C51" s="13" t="s">
        <v>147</v>
      </c>
      <c r="D51" s="14" t="s">
        <v>64</v>
      </c>
      <c r="E51" s="18" t="n">
        <v>860000</v>
      </c>
      <c r="F51" s="16"/>
      <c r="G51" s="16"/>
    </row>
    <row r="52" customFormat="false" ht="15" hidden="false" customHeight="false" outlineLevel="0" collapsed="false">
      <c r="A52" s="8" t="n">
        <v>51</v>
      </c>
      <c r="B52" s="13" t="s">
        <v>120</v>
      </c>
      <c r="C52" s="13" t="s">
        <v>148</v>
      </c>
      <c r="D52" s="14" t="s">
        <v>64</v>
      </c>
      <c r="E52" s="15"/>
      <c r="F52" s="16"/>
      <c r="G52" s="16"/>
    </row>
    <row r="53" customFormat="false" ht="15" hidden="false" customHeight="false" outlineLevel="0" collapsed="false">
      <c r="A53" s="8" t="n">
        <v>52</v>
      </c>
      <c r="B53" s="13" t="s">
        <v>149</v>
      </c>
      <c r="C53" s="13" t="s">
        <v>150</v>
      </c>
      <c r="D53" s="14" t="s">
        <v>64</v>
      </c>
      <c r="E53" s="15"/>
      <c r="F53" s="16"/>
      <c r="G53" s="16"/>
    </row>
    <row r="54" customFormat="false" ht="15" hidden="false" customHeight="false" outlineLevel="0" collapsed="false">
      <c r="A54" s="8" t="n">
        <v>53</v>
      </c>
      <c r="B54" s="13" t="s">
        <v>151</v>
      </c>
      <c r="C54" s="13" t="s">
        <v>152</v>
      </c>
      <c r="D54" s="14" t="s">
        <v>64</v>
      </c>
      <c r="E54" s="18" t="n">
        <v>165000</v>
      </c>
      <c r="F54" s="16"/>
      <c r="G54" s="16"/>
    </row>
    <row r="55" customFormat="false" ht="15" hidden="false" customHeight="false" outlineLevel="0" collapsed="false">
      <c r="A55" s="8" t="n">
        <v>54</v>
      </c>
      <c r="B55" s="17" t="s">
        <v>153</v>
      </c>
      <c r="C55" s="13" t="s">
        <v>154</v>
      </c>
      <c r="D55" s="14" t="s">
        <v>64</v>
      </c>
      <c r="E55" s="18" t="n">
        <v>660000</v>
      </c>
      <c r="F55" s="16"/>
      <c r="G55" s="16"/>
    </row>
  </sheetData>
  <autoFilter ref="A1:G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24"/>
  </cols>
  <sheetData>
    <row r="1" customFormat="false" ht="35.05" hidden="false" customHeight="false" outlineLevel="0" collapsed="false">
      <c r="A1" s="7" t="s">
        <v>56</v>
      </c>
      <c r="B1" s="7" t="s">
        <v>57</v>
      </c>
      <c r="C1" s="7" t="s">
        <v>59</v>
      </c>
      <c r="D1" s="7" t="s">
        <v>43</v>
      </c>
      <c r="E1" s="7" t="s">
        <v>155</v>
      </c>
      <c r="F1" s="7" t="s">
        <v>156</v>
      </c>
      <c r="G1" s="7" t="s">
        <v>157</v>
      </c>
      <c r="H1" s="7" t="s">
        <v>158</v>
      </c>
      <c r="I1" s="7" t="s">
        <v>159</v>
      </c>
    </row>
    <row r="2" customFormat="false" ht="15" hidden="false" customHeight="false" outlineLevel="0" collapsed="false">
      <c r="A2" s="19" t="str">
        <f aca="false">'Client-Product Master'!B2</f>
        <v>Jindal Steel &amp; Power Limited</v>
      </c>
      <c r="B2" s="19" t="str">
        <f aca="false">'Client-Product Master'!C2</f>
        <v>Wagon Bulge</v>
      </c>
      <c r="C2" s="20" t="n">
        <f aca="false">'Client-Product Master'!E2</f>
        <v>0</v>
      </c>
      <c r="D2" s="8" t="n">
        <v>1</v>
      </c>
      <c r="E2" s="21" t="n">
        <f aca="false">INDEX('AMC &amp; Spares % Assumptions'!$B$5:$B$11, D2)</f>
        <v>0.015</v>
      </c>
      <c r="F2" s="22" t="n">
        <f aca="false">C2*E2</f>
        <v>0</v>
      </c>
      <c r="G2" s="21" t="n">
        <f aca="false">INDEX('AMC &amp; Spares % Assumptions'!$C$5:$C$11, D2)</f>
        <v>0.01</v>
      </c>
      <c r="H2" s="22" t="n">
        <f aca="false">C2*G2</f>
        <v>0</v>
      </c>
      <c r="I2" s="23" t="n">
        <f aca="false">F2+H2</f>
        <v>0</v>
      </c>
    </row>
    <row r="3" customFormat="false" ht="15" hidden="false" customHeight="false" outlineLevel="0" collapsed="false">
      <c r="A3" s="19" t="str">
        <f aca="false">'Client-Product Master'!B2</f>
        <v>Jindal Steel &amp; Power Limited</v>
      </c>
      <c r="B3" s="19" t="str">
        <f aca="false">'Client-Product Master'!C2</f>
        <v>Wagon Bulge</v>
      </c>
      <c r="C3" s="20" t="n">
        <f aca="false">'Client-Product Master'!E2</f>
        <v>0</v>
      </c>
      <c r="D3" s="8" t="n">
        <v>2</v>
      </c>
      <c r="E3" s="21" t="n">
        <f aca="false">INDEX('AMC &amp; Spares % Assumptions'!$B$5:$B$11, D3)</f>
        <v>0.03</v>
      </c>
      <c r="F3" s="22" t="n">
        <f aca="false">C3*E3</f>
        <v>0</v>
      </c>
      <c r="G3" s="21" t="n">
        <f aca="false">INDEX('AMC &amp; Spares % Assumptions'!$C$5:$C$11, D3)</f>
        <v>0.025</v>
      </c>
      <c r="H3" s="22" t="n">
        <f aca="false">C3*G3</f>
        <v>0</v>
      </c>
      <c r="I3" s="23" t="n">
        <f aca="false">F3+H3</f>
        <v>0</v>
      </c>
    </row>
    <row r="4" customFormat="false" ht="15" hidden="false" customHeight="false" outlineLevel="0" collapsed="false">
      <c r="A4" s="19" t="str">
        <f aca="false">'Client-Product Master'!B2</f>
        <v>Jindal Steel &amp; Power Limited</v>
      </c>
      <c r="B4" s="19" t="str">
        <f aca="false">'Client-Product Master'!C2</f>
        <v>Wagon Bulge</v>
      </c>
      <c r="C4" s="20" t="n">
        <f aca="false">'Client-Product Master'!E2</f>
        <v>0</v>
      </c>
      <c r="D4" s="8" t="n">
        <v>3</v>
      </c>
      <c r="E4" s="21" t="n">
        <f aca="false">INDEX('AMC &amp; Spares % Assumptions'!$B$5:$B$11, D4)</f>
        <v>0.045</v>
      </c>
      <c r="F4" s="22" t="n">
        <f aca="false">C4*E4</f>
        <v>0</v>
      </c>
      <c r="G4" s="21" t="n">
        <f aca="false">INDEX('AMC &amp; Spares % Assumptions'!$C$5:$C$11, D4)</f>
        <v>0.045</v>
      </c>
      <c r="H4" s="22" t="n">
        <f aca="false">C4*G4</f>
        <v>0</v>
      </c>
      <c r="I4" s="23" t="n">
        <f aca="false">F4+H4</f>
        <v>0</v>
      </c>
    </row>
    <row r="5" customFormat="false" ht="15" hidden="false" customHeight="false" outlineLevel="0" collapsed="false">
      <c r="A5" s="19" t="str">
        <f aca="false">'Client-Product Master'!B2</f>
        <v>Jindal Steel &amp; Power Limited</v>
      </c>
      <c r="B5" s="19" t="str">
        <f aca="false">'Client-Product Master'!C2</f>
        <v>Wagon Bulge</v>
      </c>
      <c r="C5" s="20" t="n">
        <f aca="false">'Client-Product Master'!E2</f>
        <v>0</v>
      </c>
      <c r="D5" s="8" t="n">
        <v>4</v>
      </c>
      <c r="E5" s="21" t="n">
        <f aca="false">INDEX('AMC &amp; Spares % Assumptions'!$B$5:$B$11, D5)</f>
        <v>0.055</v>
      </c>
      <c r="F5" s="22" t="n">
        <f aca="false">C5*E5</f>
        <v>0</v>
      </c>
      <c r="G5" s="21" t="n">
        <f aca="false">INDEX('AMC &amp; Spares % Assumptions'!$C$5:$C$11, D5)</f>
        <v>0.06</v>
      </c>
      <c r="H5" s="22" t="n">
        <f aca="false">C5*G5</f>
        <v>0</v>
      </c>
      <c r="I5" s="23" t="n">
        <f aca="false">F5+H5</f>
        <v>0</v>
      </c>
    </row>
    <row r="6" customFormat="false" ht="15" hidden="false" customHeight="false" outlineLevel="0" collapsed="false">
      <c r="A6" s="19" t="str">
        <f aca="false">'Client-Product Master'!B2</f>
        <v>Jindal Steel &amp; Power Limited</v>
      </c>
      <c r="B6" s="19" t="str">
        <f aca="false">'Client-Product Master'!C2</f>
        <v>Wagon Bulge</v>
      </c>
      <c r="C6" s="20" t="n">
        <f aca="false">'Client-Product Master'!E2</f>
        <v>0</v>
      </c>
      <c r="D6" s="8" t="n">
        <v>5</v>
      </c>
      <c r="E6" s="21" t="n">
        <f aca="false">INDEX('AMC &amp; Spares % Assumptions'!$B$5:$B$11, D6)</f>
        <v>0.06</v>
      </c>
      <c r="F6" s="22" t="n">
        <f aca="false">C6*E6</f>
        <v>0</v>
      </c>
      <c r="G6" s="21" t="n">
        <f aca="false">INDEX('AMC &amp; Spares % Assumptions'!$C$5:$C$11, D6)</f>
        <v>0.075</v>
      </c>
      <c r="H6" s="22" t="n">
        <f aca="false">C6*G6</f>
        <v>0</v>
      </c>
      <c r="I6" s="23" t="n">
        <f aca="false">F6+H6</f>
        <v>0</v>
      </c>
    </row>
    <row r="7" customFormat="false" ht="15" hidden="false" customHeight="false" outlineLevel="0" collapsed="false">
      <c r="A7" s="19" t="str">
        <f aca="false">'Client-Product Master'!B2</f>
        <v>Jindal Steel &amp; Power Limited</v>
      </c>
      <c r="B7" s="19" t="str">
        <f aca="false">'Client-Product Master'!C2</f>
        <v>Wagon Bulge</v>
      </c>
      <c r="C7" s="20" t="n">
        <f aca="false">'Client-Product Master'!E2</f>
        <v>0</v>
      </c>
      <c r="D7" s="8" t="n">
        <v>6</v>
      </c>
      <c r="E7" s="21" t="n">
        <f aca="false">INDEX('AMC &amp; Spares % Assumptions'!$B$5:$B$11, D7)</f>
        <v>0.065</v>
      </c>
      <c r="F7" s="22" t="n">
        <f aca="false">C7*E7</f>
        <v>0</v>
      </c>
      <c r="G7" s="21" t="n">
        <f aca="false">INDEX('AMC &amp; Spares % Assumptions'!$C$5:$C$11, D7)</f>
        <v>0.085</v>
      </c>
      <c r="H7" s="22" t="n">
        <f aca="false">C7*G7</f>
        <v>0</v>
      </c>
      <c r="I7" s="23" t="n">
        <f aca="false">F7+H7</f>
        <v>0</v>
      </c>
    </row>
    <row r="8" customFormat="false" ht="15" hidden="false" customHeight="false" outlineLevel="0" collapsed="false">
      <c r="A8" s="19" t="str">
        <f aca="false">'Client-Product Master'!B2</f>
        <v>Jindal Steel &amp; Power Limited</v>
      </c>
      <c r="B8" s="19" t="str">
        <f aca="false">'Client-Product Master'!C2</f>
        <v>Wagon Bulge</v>
      </c>
      <c r="C8" s="20" t="n">
        <f aca="false">'Client-Product Master'!E2</f>
        <v>0</v>
      </c>
      <c r="D8" s="8" t="n">
        <v>7</v>
      </c>
      <c r="E8" s="21" t="n">
        <f aca="false">INDEX('AMC &amp; Spares % Assumptions'!$B$5:$B$11, D8)</f>
        <v>0.07</v>
      </c>
      <c r="F8" s="22" t="n">
        <f aca="false">C8*E8</f>
        <v>0</v>
      </c>
      <c r="G8" s="21" t="n">
        <f aca="false">INDEX('AMC &amp; Spares % Assumptions'!$C$5:$C$11, D8)</f>
        <v>0.095</v>
      </c>
      <c r="H8" s="22" t="n">
        <f aca="false">C8*G8</f>
        <v>0</v>
      </c>
      <c r="I8" s="23" t="n">
        <f aca="false">F8+H8</f>
        <v>0</v>
      </c>
    </row>
    <row r="9" customFormat="false" ht="15" hidden="false" customHeight="false" outlineLevel="0" collapsed="false">
      <c r="A9" s="19" t="str">
        <f aca="false">'Client-Product Master'!B3</f>
        <v>ISMT LIMITED</v>
      </c>
      <c r="B9" s="19" t="str">
        <f aca="false">'Client-Product Master'!C3</f>
        <v>100 Ton Ladle Transfer Car Weighing System</v>
      </c>
      <c r="C9" s="20" t="n">
        <f aca="false">'Client-Product Master'!E3</f>
        <v>0</v>
      </c>
      <c r="D9" s="8" t="n">
        <v>1</v>
      </c>
      <c r="E9" s="21" t="n">
        <f aca="false">INDEX('AMC &amp; Spares % Assumptions'!$B$5:$B$11, D9)</f>
        <v>0.015</v>
      </c>
      <c r="F9" s="22" t="n">
        <f aca="false">C9*E9</f>
        <v>0</v>
      </c>
      <c r="G9" s="21" t="n">
        <f aca="false">INDEX('AMC &amp; Spares % Assumptions'!$C$5:$C$11, D9)</f>
        <v>0.01</v>
      </c>
      <c r="H9" s="22" t="n">
        <f aca="false">C9*G9</f>
        <v>0</v>
      </c>
      <c r="I9" s="23" t="n">
        <f aca="false">F9+H9</f>
        <v>0</v>
      </c>
    </row>
    <row r="10" customFormat="false" ht="15" hidden="false" customHeight="false" outlineLevel="0" collapsed="false">
      <c r="A10" s="19" t="str">
        <f aca="false">'Client-Product Master'!B3</f>
        <v>ISMT LIMITED</v>
      </c>
      <c r="B10" s="19" t="str">
        <f aca="false">'Client-Product Master'!C3</f>
        <v>100 Ton Ladle Transfer Car Weighing System</v>
      </c>
      <c r="C10" s="20" t="n">
        <f aca="false">'Client-Product Master'!E3</f>
        <v>0</v>
      </c>
      <c r="D10" s="8" t="n">
        <v>2</v>
      </c>
      <c r="E10" s="21" t="n">
        <f aca="false">INDEX('AMC &amp; Spares % Assumptions'!$B$5:$B$11, D10)</f>
        <v>0.03</v>
      </c>
      <c r="F10" s="22" t="n">
        <f aca="false">C10*E10</f>
        <v>0</v>
      </c>
      <c r="G10" s="21" t="n">
        <f aca="false">INDEX('AMC &amp; Spares % Assumptions'!$C$5:$C$11, D10)</f>
        <v>0.025</v>
      </c>
      <c r="H10" s="22" t="n">
        <f aca="false">C10*G10</f>
        <v>0</v>
      </c>
      <c r="I10" s="23" t="n">
        <f aca="false">F10+H10</f>
        <v>0</v>
      </c>
    </row>
    <row r="11" customFormat="false" ht="15" hidden="false" customHeight="false" outlineLevel="0" collapsed="false">
      <c r="A11" s="19" t="str">
        <f aca="false">'Client-Product Master'!B3</f>
        <v>ISMT LIMITED</v>
      </c>
      <c r="B11" s="19" t="str">
        <f aca="false">'Client-Product Master'!C3</f>
        <v>100 Ton Ladle Transfer Car Weighing System</v>
      </c>
      <c r="C11" s="20" t="n">
        <f aca="false">'Client-Product Master'!E3</f>
        <v>0</v>
      </c>
      <c r="D11" s="8" t="n">
        <v>3</v>
      </c>
      <c r="E11" s="21" t="n">
        <f aca="false">INDEX('AMC &amp; Spares % Assumptions'!$B$5:$B$11, D11)</f>
        <v>0.045</v>
      </c>
      <c r="F11" s="22" t="n">
        <f aca="false">C11*E11</f>
        <v>0</v>
      </c>
      <c r="G11" s="21" t="n">
        <f aca="false">INDEX('AMC &amp; Spares % Assumptions'!$C$5:$C$11, D11)</f>
        <v>0.045</v>
      </c>
      <c r="H11" s="22" t="n">
        <f aca="false">C11*G11</f>
        <v>0</v>
      </c>
      <c r="I11" s="23" t="n">
        <f aca="false">F11+H11</f>
        <v>0</v>
      </c>
    </row>
    <row r="12" customFormat="false" ht="15" hidden="false" customHeight="false" outlineLevel="0" collapsed="false">
      <c r="A12" s="19" t="str">
        <f aca="false">'Client-Product Master'!B3</f>
        <v>ISMT LIMITED</v>
      </c>
      <c r="B12" s="19" t="str">
        <f aca="false">'Client-Product Master'!C3</f>
        <v>100 Ton Ladle Transfer Car Weighing System</v>
      </c>
      <c r="C12" s="20" t="n">
        <f aca="false">'Client-Product Master'!E3</f>
        <v>0</v>
      </c>
      <c r="D12" s="8" t="n">
        <v>4</v>
      </c>
      <c r="E12" s="21" t="n">
        <f aca="false">INDEX('AMC &amp; Spares % Assumptions'!$B$5:$B$11, D12)</f>
        <v>0.055</v>
      </c>
      <c r="F12" s="22" t="n">
        <f aca="false">C12*E12</f>
        <v>0</v>
      </c>
      <c r="G12" s="21" t="n">
        <f aca="false">INDEX('AMC &amp; Spares % Assumptions'!$C$5:$C$11, D12)</f>
        <v>0.06</v>
      </c>
      <c r="H12" s="22" t="n">
        <f aca="false">C12*G12</f>
        <v>0</v>
      </c>
      <c r="I12" s="23" t="n">
        <f aca="false">F12+H12</f>
        <v>0</v>
      </c>
    </row>
    <row r="13" customFormat="false" ht="15" hidden="false" customHeight="false" outlineLevel="0" collapsed="false">
      <c r="A13" s="19" t="str">
        <f aca="false">'Client-Product Master'!B3</f>
        <v>ISMT LIMITED</v>
      </c>
      <c r="B13" s="19" t="str">
        <f aca="false">'Client-Product Master'!C3</f>
        <v>100 Ton Ladle Transfer Car Weighing System</v>
      </c>
      <c r="C13" s="20" t="n">
        <f aca="false">'Client-Product Master'!E3</f>
        <v>0</v>
      </c>
      <c r="D13" s="8" t="n">
        <v>5</v>
      </c>
      <c r="E13" s="21" t="n">
        <f aca="false">INDEX('AMC &amp; Spares % Assumptions'!$B$5:$B$11, D13)</f>
        <v>0.06</v>
      </c>
      <c r="F13" s="22" t="n">
        <f aca="false">C13*E13</f>
        <v>0</v>
      </c>
      <c r="G13" s="21" t="n">
        <f aca="false">INDEX('AMC &amp; Spares % Assumptions'!$C$5:$C$11, D13)</f>
        <v>0.075</v>
      </c>
      <c r="H13" s="22" t="n">
        <f aca="false">C13*G13</f>
        <v>0</v>
      </c>
      <c r="I13" s="23" t="n">
        <f aca="false">F13+H13</f>
        <v>0</v>
      </c>
    </row>
    <row r="14" customFormat="false" ht="15" hidden="false" customHeight="false" outlineLevel="0" collapsed="false">
      <c r="A14" s="19" t="str">
        <f aca="false">'Client-Product Master'!B3</f>
        <v>ISMT LIMITED</v>
      </c>
      <c r="B14" s="19" t="str">
        <f aca="false">'Client-Product Master'!C3</f>
        <v>100 Ton Ladle Transfer Car Weighing System</v>
      </c>
      <c r="C14" s="20" t="n">
        <f aca="false">'Client-Product Master'!E3</f>
        <v>0</v>
      </c>
      <c r="D14" s="8" t="n">
        <v>6</v>
      </c>
      <c r="E14" s="21" t="n">
        <f aca="false">INDEX('AMC &amp; Spares % Assumptions'!$B$5:$B$11, D14)</f>
        <v>0.065</v>
      </c>
      <c r="F14" s="22" t="n">
        <f aca="false">C14*E14</f>
        <v>0</v>
      </c>
      <c r="G14" s="21" t="n">
        <f aca="false">INDEX('AMC &amp; Spares % Assumptions'!$C$5:$C$11, D14)</f>
        <v>0.085</v>
      </c>
      <c r="H14" s="22" t="n">
        <f aca="false">C14*G14</f>
        <v>0</v>
      </c>
      <c r="I14" s="23" t="n">
        <f aca="false">F14+H14</f>
        <v>0</v>
      </c>
    </row>
    <row r="15" customFormat="false" ht="15" hidden="false" customHeight="false" outlineLevel="0" collapsed="false">
      <c r="A15" s="19" t="str">
        <f aca="false">'Client-Product Master'!B3</f>
        <v>ISMT LIMITED</v>
      </c>
      <c r="B15" s="19" t="str">
        <f aca="false">'Client-Product Master'!C3</f>
        <v>100 Ton Ladle Transfer Car Weighing System</v>
      </c>
      <c r="C15" s="20" t="n">
        <f aca="false">'Client-Product Master'!E3</f>
        <v>0</v>
      </c>
      <c r="D15" s="8" t="n">
        <v>7</v>
      </c>
      <c r="E15" s="21" t="n">
        <f aca="false">INDEX('AMC &amp; Spares % Assumptions'!$B$5:$B$11, D15)</f>
        <v>0.07</v>
      </c>
      <c r="F15" s="22" t="n">
        <f aca="false">C15*E15</f>
        <v>0</v>
      </c>
      <c r="G15" s="21" t="n">
        <f aca="false">INDEX('AMC &amp; Spares % Assumptions'!$C$5:$C$11, D15)</f>
        <v>0.095</v>
      </c>
      <c r="H15" s="22" t="n">
        <f aca="false">C15*G15</f>
        <v>0</v>
      </c>
      <c r="I15" s="23" t="n">
        <f aca="false">F15+H15</f>
        <v>0</v>
      </c>
    </row>
    <row r="16" customFormat="false" ht="15" hidden="false" customHeight="false" outlineLevel="0" collapsed="false">
      <c r="A16" s="19" t="str">
        <f aca="false">'Client-Product Master'!B4</f>
        <v>NTPC</v>
      </c>
      <c r="B16" s="19" t="str">
        <f aca="false">'Client-Product Master'!C4</f>
        <v>STATIC WEIGH BRIDGES</v>
      </c>
      <c r="C16" s="20" t="n">
        <f aca="false">'Client-Product Master'!E4</f>
        <v>0</v>
      </c>
      <c r="D16" s="8" t="n">
        <v>1</v>
      </c>
      <c r="E16" s="21" t="n">
        <f aca="false">INDEX('AMC &amp; Spares % Assumptions'!$B$5:$B$11, D16)</f>
        <v>0.015</v>
      </c>
      <c r="F16" s="22" t="n">
        <f aca="false">C16*E16</f>
        <v>0</v>
      </c>
      <c r="G16" s="21" t="n">
        <f aca="false">INDEX('AMC &amp; Spares % Assumptions'!$C$5:$C$11, D16)</f>
        <v>0.01</v>
      </c>
      <c r="H16" s="22" t="n">
        <f aca="false">C16*G16</f>
        <v>0</v>
      </c>
      <c r="I16" s="23" t="n">
        <f aca="false">F16+H16</f>
        <v>0</v>
      </c>
    </row>
    <row r="17" customFormat="false" ht="15" hidden="false" customHeight="false" outlineLevel="0" collapsed="false">
      <c r="A17" s="19" t="str">
        <f aca="false">'Client-Product Master'!B4</f>
        <v>NTPC</v>
      </c>
      <c r="B17" s="19" t="str">
        <f aca="false">'Client-Product Master'!C4</f>
        <v>STATIC WEIGH BRIDGES</v>
      </c>
      <c r="C17" s="20" t="n">
        <f aca="false">'Client-Product Master'!E4</f>
        <v>0</v>
      </c>
      <c r="D17" s="8" t="n">
        <v>2</v>
      </c>
      <c r="E17" s="21" t="n">
        <f aca="false">INDEX('AMC &amp; Spares % Assumptions'!$B$5:$B$11, D17)</f>
        <v>0.03</v>
      </c>
      <c r="F17" s="22" t="n">
        <f aca="false">C17*E17</f>
        <v>0</v>
      </c>
      <c r="G17" s="21" t="n">
        <f aca="false">INDEX('AMC &amp; Spares % Assumptions'!$C$5:$C$11, D17)</f>
        <v>0.025</v>
      </c>
      <c r="H17" s="22" t="n">
        <f aca="false">C17*G17</f>
        <v>0</v>
      </c>
      <c r="I17" s="23" t="n">
        <f aca="false">F17+H17</f>
        <v>0</v>
      </c>
    </row>
    <row r="18" customFormat="false" ht="15" hidden="false" customHeight="false" outlineLevel="0" collapsed="false">
      <c r="A18" s="19" t="str">
        <f aca="false">'Client-Product Master'!B4</f>
        <v>NTPC</v>
      </c>
      <c r="B18" s="19" t="str">
        <f aca="false">'Client-Product Master'!C4</f>
        <v>STATIC WEIGH BRIDGES</v>
      </c>
      <c r="C18" s="20" t="n">
        <f aca="false">'Client-Product Master'!E4</f>
        <v>0</v>
      </c>
      <c r="D18" s="8" t="n">
        <v>3</v>
      </c>
      <c r="E18" s="21" t="n">
        <f aca="false">INDEX('AMC &amp; Spares % Assumptions'!$B$5:$B$11, D18)</f>
        <v>0.045</v>
      </c>
      <c r="F18" s="22" t="n">
        <f aca="false">C18*E18</f>
        <v>0</v>
      </c>
      <c r="G18" s="21" t="n">
        <f aca="false">INDEX('AMC &amp; Spares % Assumptions'!$C$5:$C$11, D18)</f>
        <v>0.045</v>
      </c>
      <c r="H18" s="22" t="n">
        <f aca="false">C18*G18</f>
        <v>0</v>
      </c>
      <c r="I18" s="23" t="n">
        <f aca="false">F18+H18</f>
        <v>0</v>
      </c>
    </row>
    <row r="19" customFormat="false" ht="15" hidden="false" customHeight="false" outlineLevel="0" collapsed="false">
      <c r="A19" s="19" t="str">
        <f aca="false">'Client-Product Master'!B4</f>
        <v>NTPC</v>
      </c>
      <c r="B19" s="19" t="str">
        <f aca="false">'Client-Product Master'!C4</f>
        <v>STATIC WEIGH BRIDGES</v>
      </c>
      <c r="C19" s="20" t="n">
        <f aca="false">'Client-Product Master'!E4</f>
        <v>0</v>
      </c>
      <c r="D19" s="8" t="n">
        <v>4</v>
      </c>
      <c r="E19" s="21" t="n">
        <f aca="false">INDEX('AMC &amp; Spares % Assumptions'!$B$5:$B$11, D19)</f>
        <v>0.055</v>
      </c>
      <c r="F19" s="22" t="n">
        <f aca="false">C19*E19</f>
        <v>0</v>
      </c>
      <c r="G19" s="21" t="n">
        <f aca="false">INDEX('AMC &amp; Spares % Assumptions'!$C$5:$C$11, D19)</f>
        <v>0.06</v>
      </c>
      <c r="H19" s="22" t="n">
        <f aca="false">C19*G19</f>
        <v>0</v>
      </c>
      <c r="I19" s="23" t="n">
        <f aca="false">F19+H19</f>
        <v>0</v>
      </c>
    </row>
    <row r="20" customFormat="false" ht="15" hidden="false" customHeight="false" outlineLevel="0" collapsed="false">
      <c r="A20" s="19" t="str">
        <f aca="false">'Client-Product Master'!B4</f>
        <v>NTPC</v>
      </c>
      <c r="B20" s="19" t="str">
        <f aca="false">'Client-Product Master'!C4</f>
        <v>STATIC WEIGH BRIDGES</v>
      </c>
      <c r="C20" s="20" t="n">
        <f aca="false">'Client-Product Master'!E4</f>
        <v>0</v>
      </c>
      <c r="D20" s="8" t="n">
        <v>5</v>
      </c>
      <c r="E20" s="21" t="n">
        <f aca="false">INDEX('AMC &amp; Spares % Assumptions'!$B$5:$B$11, D20)</f>
        <v>0.06</v>
      </c>
      <c r="F20" s="22" t="n">
        <f aca="false">C20*E20</f>
        <v>0</v>
      </c>
      <c r="G20" s="21" t="n">
        <f aca="false">INDEX('AMC &amp; Spares % Assumptions'!$C$5:$C$11, D20)</f>
        <v>0.075</v>
      </c>
      <c r="H20" s="22" t="n">
        <f aca="false">C20*G20</f>
        <v>0</v>
      </c>
      <c r="I20" s="23" t="n">
        <f aca="false">F20+H20</f>
        <v>0</v>
      </c>
    </row>
    <row r="21" customFormat="false" ht="15" hidden="false" customHeight="false" outlineLevel="0" collapsed="false">
      <c r="A21" s="19" t="str">
        <f aca="false">'Client-Product Master'!B4</f>
        <v>NTPC</v>
      </c>
      <c r="B21" s="19" t="str">
        <f aca="false">'Client-Product Master'!C4</f>
        <v>STATIC WEIGH BRIDGES</v>
      </c>
      <c r="C21" s="20" t="n">
        <f aca="false">'Client-Product Master'!E4</f>
        <v>0</v>
      </c>
      <c r="D21" s="8" t="n">
        <v>6</v>
      </c>
      <c r="E21" s="21" t="n">
        <f aca="false">INDEX('AMC &amp; Spares % Assumptions'!$B$5:$B$11, D21)</f>
        <v>0.065</v>
      </c>
      <c r="F21" s="22" t="n">
        <f aca="false">C21*E21</f>
        <v>0</v>
      </c>
      <c r="G21" s="21" t="n">
        <f aca="false">INDEX('AMC &amp; Spares % Assumptions'!$C$5:$C$11, D21)</f>
        <v>0.085</v>
      </c>
      <c r="H21" s="22" t="n">
        <f aca="false">C21*G21</f>
        <v>0</v>
      </c>
      <c r="I21" s="23" t="n">
        <f aca="false">F21+H21</f>
        <v>0</v>
      </c>
    </row>
    <row r="22" customFormat="false" ht="15" hidden="false" customHeight="false" outlineLevel="0" collapsed="false">
      <c r="A22" s="19" t="str">
        <f aca="false">'Client-Product Master'!B4</f>
        <v>NTPC</v>
      </c>
      <c r="B22" s="19" t="str">
        <f aca="false">'Client-Product Master'!C4</f>
        <v>STATIC WEIGH BRIDGES</v>
      </c>
      <c r="C22" s="20" t="n">
        <f aca="false">'Client-Product Master'!E4</f>
        <v>0</v>
      </c>
      <c r="D22" s="8" t="n">
        <v>7</v>
      </c>
      <c r="E22" s="21" t="n">
        <f aca="false">INDEX('AMC &amp; Spares % Assumptions'!$B$5:$B$11, D22)</f>
        <v>0.07</v>
      </c>
      <c r="F22" s="22" t="n">
        <f aca="false">C22*E22</f>
        <v>0</v>
      </c>
      <c r="G22" s="21" t="n">
        <f aca="false">INDEX('AMC &amp; Spares % Assumptions'!$C$5:$C$11, D22)</f>
        <v>0.095</v>
      </c>
      <c r="H22" s="22" t="n">
        <f aca="false">C22*G22</f>
        <v>0</v>
      </c>
      <c r="I22" s="23" t="n">
        <f aca="false">F22+H22</f>
        <v>0</v>
      </c>
    </row>
    <row r="23" customFormat="false" ht="15" hidden="false" customHeight="false" outlineLevel="0" collapsed="false">
      <c r="A23" s="19" t="str">
        <f aca="false">'Client-Product Master'!B5</f>
        <v>MAgna Casting &amp; Machine Works Pvt</v>
      </c>
      <c r="B23" s="19" t="str">
        <f aca="false">'Client-Product Master'!C5</f>
        <v>50 Ton Ladle Transfer Car Weighing System</v>
      </c>
      <c r="C23" s="20" t="n">
        <f aca="false">'Client-Product Master'!E5</f>
        <v>0</v>
      </c>
      <c r="D23" s="8" t="n">
        <v>1</v>
      </c>
      <c r="E23" s="21" t="n">
        <f aca="false">INDEX('AMC &amp; Spares % Assumptions'!$B$5:$B$11, D23)</f>
        <v>0.015</v>
      </c>
      <c r="F23" s="22" t="n">
        <f aca="false">C23*E23</f>
        <v>0</v>
      </c>
      <c r="G23" s="21" t="n">
        <f aca="false">INDEX('AMC &amp; Spares % Assumptions'!$C$5:$C$11, D23)</f>
        <v>0.01</v>
      </c>
      <c r="H23" s="22" t="n">
        <f aca="false">C23*G23</f>
        <v>0</v>
      </c>
      <c r="I23" s="23" t="n">
        <f aca="false">F23+H23</f>
        <v>0</v>
      </c>
    </row>
    <row r="24" customFormat="false" ht="15" hidden="false" customHeight="false" outlineLevel="0" collapsed="false">
      <c r="A24" s="19" t="str">
        <f aca="false">'Client-Product Master'!B5</f>
        <v>MAgna Casting &amp; Machine Works Pvt</v>
      </c>
      <c r="B24" s="19" t="str">
        <f aca="false">'Client-Product Master'!C5</f>
        <v>50 Ton Ladle Transfer Car Weighing System</v>
      </c>
      <c r="C24" s="20" t="n">
        <f aca="false">'Client-Product Master'!E5</f>
        <v>0</v>
      </c>
      <c r="D24" s="8" t="n">
        <v>2</v>
      </c>
      <c r="E24" s="21" t="n">
        <f aca="false">INDEX('AMC &amp; Spares % Assumptions'!$B$5:$B$11, D24)</f>
        <v>0.03</v>
      </c>
      <c r="F24" s="22" t="n">
        <f aca="false">C24*E24</f>
        <v>0</v>
      </c>
      <c r="G24" s="21" t="n">
        <f aca="false">INDEX('AMC &amp; Spares % Assumptions'!$C$5:$C$11, D24)</f>
        <v>0.025</v>
      </c>
      <c r="H24" s="22" t="n">
        <f aca="false">C24*G24</f>
        <v>0</v>
      </c>
      <c r="I24" s="23" t="n">
        <f aca="false">F24+H24</f>
        <v>0</v>
      </c>
    </row>
    <row r="25" customFormat="false" ht="15" hidden="false" customHeight="false" outlineLevel="0" collapsed="false">
      <c r="A25" s="19" t="str">
        <f aca="false">'Client-Product Master'!B5</f>
        <v>MAgna Casting &amp; Machine Works Pvt</v>
      </c>
      <c r="B25" s="19" t="str">
        <f aca="false">'Client-Product Master'!C5</f>
        <v>50 Ton Ladle Transfer Car Weighing System</v>
      </c>
      <c r="C25" s="20" t="n">
        <f aca="false">'Client-Product Master'!E5</f>
        <v>0</v>
      </c>
      <c r="D25" s="8" t="n">
        <v>3</v>
      </c>
      <c r="E25" s="21" t="n">
        <f aca="false">INDEX('AMC &amp; Spares % Assumptions'!$B$5:$B$11, D25)</f>
        <v>0.045</v>
      </c>
      <c r="F25" s="22" t="n">
        <f aca="false">C25*E25</f>
        <v>0</v>
      </c>
      <c r="G25" s="21" t="n">
        <f aca="false">INDEX('AMC &amp; Spares % Assumptions'!$C$5:$C$11, D25)</f>
        <v>0.045</v>
      </c>
      <c r="H25" s="22" t="n">
        <f aca="false">C25*G25</f>
        <v>0</v>
      </c>
      <c r="I25" s="23" t="n">
        <f aca="false">F25+H25</f>
        <v>0</v>
      </c>
    </row>
    <row r="26" customFormat="false" ht="15" hidden="false" customHeight="false" outlineLevel="0" collapsed="false">
      <c r="A26" s="19" t="str">
        <f aca="false">'Client-Product Master'!B5</f>
        <v>MAgna Casting &amp; Machine Works Pvt</v>
      </c>
      <c r="B26" s="19" t="str">
        <f aca="false">'Client-Product Master'!C5</f>
        <v>50 Ton Ladle Transfer Car Weighing System</v>
      </c>
      <c r="C26" s="20" t="n">
        <f aca="false">'Client-Product Master'!E5</f>
        <v>0</v>
      </c>
      <c r="D26" s="8" t="n">
        <v>4</v>
      </c>
      <c r="E26" s="21" t="n">
        <f aca="false">INDEX('AMC &amp; Spares % Assumptions'!$B$5:$B$11, D26)</f>
        <v>0.055</v>
      </c>
      <c r="F26" s="22" t="n">
        <f aca="false">C26*E26</f>
        <v>0</v>
      </c>
      <c r="G26" s="21" t="n">
        <f aca="false">INDEX('AMC &amp; Spares % Assumptions'!$C$5:$C$11, D26)</f>
        <v>0.06</v>
      </c>
      <c r="H26" s="22" t="n">
        <f aca="false">C26*G26</f>
        <v>0</v>
      </c>
      <c r="I26" s="23" t="n">
        <f aca="false">F26+H26</f>
        <v>0</v>
      </c>
    </row>
    <row r="27" customFormat="false" ht="15" hidden="false" customHeight="false" outlineLevel="0" collapsed="false">
      <c r="A27" s="19" t="str">
        <f aca="false">'Client-Product Master'!B5</f>
        <v>MAgna Casting &amp; Machine Works Pvt</v>
      </c>
      <c r="B27" s="19" t="str">
        <f aca="false">'Client-Product Master'!C5</f>
        <v>50 Ton Ladle Transfer Car Weighing System</v>
      </c>
      <c r="C27" s="20" t="n">
        <f aca="false">'Client-Product Master'!E5</f>
        <v>0</v>
      </c>
      <c r="D27" s="8" t="n">
        <v>5</v>
      </c>
      <c r="E27" s="21" t="n">
        <f aca="false">INDEX('AMC &amp; Spares % Assumptions'!$B$5:$B$11, D27)</f>
        <v>0.06</v>
      </c>
      <c r="F27" s="22" t="n">
        <f aca="false">C27*E27</f>
        <v>0</v>
      </c>
      <c r="G27" s="21" t="n">
        <f aca="false">INDEX('AMC &amp; Spares % Assumptions'!$C$5:$C$11, D27)</f>
        <v>0.075</v>
      </c>
      <c r="H27" s="22" t="n">
        <f aca="false">C27*G27</f>
        <v>0</v>
      </c>
      <c r="I27" s="23" t="n">
        <f aca="false">F27+H27</f>
        <v>0</v>
      </c>
    </row>
    <row r="28" customFormat="false" ht="15" hidden="false" customHeight="false" outlineLevel="0" collapsed="false">
      <c r="A28" s="19" t="str">
        <f aca="false">'Client-Product Master'!B5</f>
        <v>MAgna Casting &amp; Machine Works Pvt</v>
      </c>
      <c r="B28" s="19" t="str">
        <f aca="false">'Client-Product Master'!C5</f>
        <v>50 Ton Ladle Transfer Car Weighing System</v>
      </c>
      <c r="C28" s="20" t="n">
        <f aca="false">'Client-Product Master'!E5</f>
        <v>0</v>
      </c>
      <c r="D28" s="8" t="n">
        <v>6</v>
      </c>
      <c r="E28" s="21" t="n">
        <f aca="false">INDEX('AMC &amp; Spares % Assumptions'!$B$5:$B$11, D28)</f>
        <v>0.065</v>
      </c>
      <c r="F28" s="22" t="n">
        <f aca="false">C28*E28</f>
        <v>0</v>
      </c>
      <c r="G28" s="21" t="n">
        <f aca="false">INDEX('AMC &amp; Spares % Assumptions'!$C$5:$C$11, D28)</f>
        <v>0.085</v>
      </c>
      <c r="H28" s="22" t="n">
        <f aca="false">C28*G28</f>
        <v>0</v>
      </c>
      <c r="I28" s="23" t="n">
        <f aca="false">F28+H28</f>
        <v>0</v>
      </c>
    </row>
    <row r="29" customFormat="false" ht="15" hidden="false" customHeight="false" outlineLevel="0" collapsed="false">
      <c r="A29" s="19" t="str">
        <f aca="false">'Client-Product Master'!B5</f>
        <v>MAgna Casting &amp; Machine Works Pvt</v>
      </c>
      <c r="B29" s="19" t="str">
        <f aca="false">'Client-Product Master'!C5</f>
        <v>50 Ton Ladle Transfer Car Weighing System</v>
      </c>
      <c r="C29" s="20" t="n">
        <f aca="false">'Client-Product Master'!E5</f>
        <v>0</v>
      </c>
      <c r="D29" s="8" t="n">
        <v>7</v>
      </c>
      <c r="E29" s="21" t="n">
        <f aca="false">INDEX('AMC &amp; Spares % Assumptions'!$B$5:$B$11, D29)</f>
        <v>0.07</v>
      </c>
      <c r="F29" s="22" t="n">
        <f aca="false">C29*E29</f>
        <v>0</v>
      </c>
      <c r="G29" s="21" t="n">
        <f aca="false">INDEX('AMC &amp; Spares % Assumptions'!$C$5:$C$11, D29)</f>
        <v>0.095</v>
      </c>
      <c r="H29" s="22" t="n">
        <f aca="false">C29*G29</f>
        <v>0</v>
      </c>
      <c r="I29" s="23" t="n">
        <f aca="false">F29+H29</f>
        <v>0</v>
      </c>
    </row>
    <row r="30" customFormat="false" ht="15" hidden="false" customHeight="false" outlineLevel="0" collapsed="false">
      <c r="A30" s="19" t="str">
        <f aca="false">'Client-Product Master'!B6</f>
        <v>Tata Steel Long products limited</v>
      </c>
      <c r="B30" s="19" t="str">
        <f aca="false">'Client-Product Master'!C6</f>
        <v>WEIGHBRIDGE STRUCTURE,100 MT,18X3M</v>
      </c>
      <c r="C30" s="20" t="n">
        <f aca="false">'Client-Product Master'!E6</f>
        <v>0</v>
      </c>
      <c r="D30" s="8" t="n">
        <v>1</v>
      </c>
      <c r="E30" s="21" t="n">
        <f aca="false">INDEX('AMC &amp; Spares % Assumptions'!$B$5:$B$11, D30)</f>
        <v>0.015</v>
      </c>
      <c r="F30" s="22" t="n">
        <f aca="false">C30*E30</f>
        <v>0</v>
      </c>
      <c r="G30" s="21" t="n">
        <f aca="false">INDEX('AMC &amp; Spares % Assumptions'!$C$5:$C$11, D30)</f>
        <v>0.01</v>
      </c>
      <c r="H30" s="22" t="n">
        <f aca="false">C30*G30</f>
        <v>0</v>
      </c>
      <c r="I30" s="23" t="n">
        <f aca="false">F30+H30</f>
        <v>0</v>
      </c>
    </row>
    <row r="31" customFormat="false" ht="15" hidden="false" customHeight="false" outlineLevel="0" collapsed="false">
      <c r="A31" s="19" t="str">
        <f aca="false">'Client-Product Master'!B6</f>
        <v>Tata Steel Long products limited</v>
      </c>
      <c r="B31" s="19" t="str">
        <f aca="false">'Client-Product Master'!C6</f>
        <v>WEIGHBRIDGE STRUCTURE,100 MT,18X3M</v>
      </c>
      <c r="C31" s="20" t="n">
        <f aca="false">'Client-Product Master'!E6</f>
        <v>0</v>
      </c>
      <c r="D31" s="8" t="n">
        <v>2</v>
      </c>
      <c r="E31" s="21" t="n">
        <f aca="false">INDEX('AMC &amp; Spares % Assumptions'!$B$5:$B$11, D31)</f>
        <v>0.03</v>
      </c>
      <c r="F31" s="22" t="n">
        <f aca="false">C31*E31</f>
        <v>0</v>
      </c>
      <c r="G31" s="21" t="n">
        <f aca="false">INDEX('AMC &amp; Spares % Assumptions'!$C$5:$C$11, D31)</f>
        <v>0.025</v>
      </c>
      <c r="H31" s="22" t="n">
        <f aca="false">C31*G31</f>
        <v>0</v>
      </c>
      <c r="I31" s="23" t="n">
        <f aca="false">F31+H31</f>
        <v>0</v>
      </c>
    </row>
    <row r="32" customFormat="false" ht="15" hidden="false" customHeight="false" outlineLevel="0" collapsed="false">
      <c r="A32" s="19" t="str">
        <f aca="false">'Client-Product Master'!B6</f>
        <v>Tata Steel Long products limited</v>
      </c>
      <c r="B32" s="19" t="str">
        <f aca="false">'Client-Product Master'!C6</f>
        <v>WEIGHBRIDGE STRUCTURE,100 MT,18X3M</v>
      </c>
      <c r="C32" s="20" t="n">
        <f aca="false">'Client-Product Master'!E6</f>
        <v>0</v>
      </c>
      <c r="D32" s="8" t="n">
        <v>3</v>
      </c>
      <c r="E32" s="21" t="n">
        <f aca="false">INDEX('AMC &amp; Spares % Assumptions'!$B$5:$B$11, D32)</f>
        <v>0.045</v>
      </c>
      <c r="F32" s="22" t="n">
        <f aca="false">C32*E32</f>
        <v>0</v>
      </c>
      <c r="G32" s="21" t="n">
        <f aca="false">INDEX('AMC &amp; Spares % Assumptions'!$C$5:$C$11, D32)</f>
        <v>0.045</v>
      </c>
      <c r="H32" s="22" t="n">
        <f aca="false">C32*G32</f>
        <v>0</v>
      </c>
      <c r="I32" s="23" t="n">
        <f aca="false">F32+H32</f>
        <v>0</v>
      </c>
    </row>
    <row r="33" customFormat="false" ht="15" hidden="false" customHeight="false" outlineLevel="0" collapsed="false">
      <c r="A33" s="19" t="str">
        <f aca="false">'Client-Product Master'!B6</f>
        <v>Tata Steel Long products limited</v>
      </c>
      <c r="B33" s="19" t="str">
        <f aca="false">'Client-Product Master'!C6</f>
        <v>WEIGHBRIDGE STRUCTURE,100 MT,18X3M</v>
      </c>
      <c r="C33" s="20" t="n">
        <f aca="false">'Client-Product Master'!E6</f>
        <v>0</v>
      </c>
      <c r="D33" s="8" t="n">
        <v>4</v>
      </c>
      <c r="E33" s="21" t="n">
        <f aca="false">INDEX('AMC &amp; Spares % Assumptions'!$B$5:$B$11, D33)</f>
        <v>0.055</v>
      </c>
      <c r="F33" s="22" t="n">
        <f aca="false">C33*E33</f>
        <v>0</v>
      </c>
      <c r="G33" s="21" t="n">
        <f aca="false">INDEX('AMC &amp; Spares % Assumptions'!$C$5:$C$11, D33)</f>
        <v>0.06</v>
      </c>
      <c r="H33" s="22" t="n">
        <f aca="false">C33*G33</f>
        <v>0</v>
      </c>
      <c r="I33" s="23" t="n">
        <f aca="false">F33+H33</f>
        <v>0</v>
      </c>
    </row>
    <row r="34" customFormat="false" ht="15" hidden="false" customHeight="false" outlineLevel="0" collapsed="false">
      <c r="A34" s="19" t="str">
        <f aca="false">'Client-Product Master'!B6</f>
        <v>Tata Steel Long products limited</v>
      </c>
      <c r="B34" s="19" t="str">
        <f aca="false">'Client-Product Master'!C6</f>
        <v>WEIGHBRIDGE STRUCTURE,100 MT,18X3M</v>
      </c>
      <c r="C34" s="20" t="n">
        <f aca="false">'Client-Product Master'!E6</f>
        <v>0</v>
      </c>
      <c r="D34" s="8" t="n">
        <v>5</v>
      </c>
      <c r="E34" s="21" t="n">
        <f aca="false">INDEX('AMC &amp; Spares % Assumptions'!$B$5:$B$11, D34)</f>
        <v>0.06</v>
      </c>
      <c r="F34" s="22" t="n">
        <f aca="false">C34*E34</f>
        <v>0</v>
      </c>
      <c r="G34" s="21" t="n">
        <f aca="false">INDEX('AMC &amp; Spares % Assumptions'!$C$5:$C$11, D34)</f>
        <v>0.075</v>
      </c>
      <c r="H34" s="22" t="n">
        <f aca="false">C34*G34</f>
        <v>0</v>
      </c>
      <c r="I34" s="23" t="n">
        <f aca="false">F34+H34</f>
        <v>0</v>
      </c>
    </row>
    <row r="35" customFormat="false" ht="15" hidden="false" customHeight="false" outlineLevel="0" collapsed="false">
      <c r="A35" s="19" t="str">
        <f aca="false">'Client-Product Master'!B6</f>
        <v>Tata Steel Long products limited</v>
      </c>
      <c r="B35" s="19" t="str">
        <f aca="false">'Client-Product Master'!C6</f>
        <v>WEIGHBRIDGE STRUCTURE,100 MT,18X3M</v>
      </c>
      <c r="C35" s="20" t="n">
        <f aca="false">'Client-Product Master'!E6</f>
        <v>0</v>
      </c>
      <c r="D35" s="8" t="n">
        <v>6</v>
      </c>
      <c r="E35" s="21" t="n">
        <f aca="false">INDEX('AMC &amp; Spares % Assumptions'!$B$5:$B$11, D35)</f>
        <v>0.065</v>
      </c>
      <c r="F35" s="22" t="n">
        <f aca="false">C35*E35</f>
        <v>0</v>
      </c>
      <c r="G35" s="21" t="n">
        <f aca="false">INDEX('AMC &amp; Spares % Assumptions'!$C$5:$C$11, D35)</f>
        <v>0.085</v>
      </c>
      <c r="H35" s="22" t="n">
        <f aca="false">C35*G35</f>
        <v>0</v>
      </c>
      <c r="I35" s="23" t="n">
        <f aca="false">F35+H35</f>
        <v>0</v>
      </c>
    </row>
    <row r="36" customFormat="false" ht="15" hidden="false" customHeight="false" outlineLevel="0" collapsed="false">
      <c r="A36" s="19" t="str">
        <f aca="false">'Client-Product Master'!B6</f>
        <v>Tata Steel Long products limited</v>
      </c>
      <c r="B36" s="19" t="str">
        <f aca="false">'Client-Product Master'!C6</f>
        <v>WEIGHBRIDGE STRUCTURE,100 MT,18X3M</v>
      </c>
      <c r="C36" s="20" t="n">
        <f aca="false">'Client-Product Master'!E6</f>
        <v>0</v>
      </c>
      <c r="D36" s="8" t="n">
        <v>7</v>
      </c>
      <c r="E36" s="21" t="n">
        <f aca="false">INDEX('AMC &amp; Spares % Assumptions'!$B$5:$B$11, D36)</f>
        <v>0.07</v>
      </c>
      <c r="F36" s="22" t="n">
        <f aca="false">C36*E36</f>
        <v>0</v>
      </c>
      <c r="G36" s="21" t="n">
        <f aca="false">INDEX('AMC &amp; Spares % Assumptions'!$C$5:$C$11, D36)</f>
        <v>0.095</v>
      </c>
      <c r="H36" s="22" t="n">
        <f aca="false">C36*G36</f>
        <v>0</v>
      </c>
      <c r="I36" s="23" t="n">
        <f aca="false">F36+H36</f>
        <v>0</v>
      </c>
    </row>
    <row r="37" customFormat="false" ht="15" hidden="false" customHeight="false" outlineLevel="0" collapsed="false">
      <c r="A37" s="19" t="str">
        <f aca="false">'Client-Product Master'!B7</f>
        <v>Hospet Steels Limited</v>
      </c>
      <c r="B37" s="19" t="str">
        <f aca="false">'Client-Product Master'!C7</f>
        <v>Hot metal weighing system 100 ton</v>
      </c>
      <c r="C37" s="20" t="n">
        <f aca="false">'Client-Product Master'!E7</f>
        <v>0</v>
      </c>
      <c r="D37" s="8" t="n">
        <v>1</v>
      </c>
      <c r="E37" s="21" t="n">
        <f aca="false">INDEX('AMC &amp; Spares % Assumptions'!$B$5:$B$11, D37)</f>
        <v>0.015</v>
      </c>
      <c r="F37" s="22" t="n">
        <f aca="false">C37*E37</f>
        <v>0</v>
      </c>
      <c r="G37" s="21" t="n">
        <f aca="false">INDEX('AMC &amp; Spares % Assumptions'!$C$5:$C$11, D37)</f>
        <v>0.01</v>
      </c>
      <c r="H37" s="22" t="n">
        <f aca="false">C37*G37</f>
        <v>0</v>
      </c>
      <c r="I37" s="23" t="n">
        <f aca="false">F37+H37</f>
        <v>0</v>
      </c>
    </row>
    <row r="38" customFormat="false" ht="15" hidden="false" customHeight="false" outlineLevel="0" collapsed="false">
      <c r="A38" s="19" t="str">
        <f aca="false">'Client-Product Master'!B7</f>
        <v>Hospet Steels Limited</v>
      </c>
      <c r="B38" s="19" t="str">
        <f aca="false">'Client-Product Master'!C7</f>
        <v>Hot metal weighing system 100 ton</v>
      </c>
      <c r="C38" s="20" t="n">
        <f aca="false">'Client-Product Master'!E7</f>
        <v>0</v>
      </c>
      <c r="D38" s="8" t="n">
        <v>2</v>
      </c>
      <c r="E38" s="21" t="n">
        <f aca="false">INDEX('AMC &amp; Spares % Assumptions'!$B$5:$B$11, D38)</f>
        <v>0.03</v>
      </c>
      <c r="F38" s="22" t="n">
        <f aca="false">C38*E38</f>
        <v>0</v>
      </c>
      <c r="G38" s="21" t="n">
        <f aca="false">INDEX('AMC &amp; Spares % Assumptions'!$C$5:$C$11, D38)</f>
        <v>0.025</v>
      </c>
      <c r="H38" s="22" t="n">
        <f aca="false">C38*G38</f>
        <v>0</v>
      </c>
      <c r="I38" s="23" t="n">
        <f aca="false">F38+H38</f>
        <v>0</v>
      </c>
    </row>
    <row r="39" customFormat="false" ht="15" hidden="false" customHeight="false" outlineLevel="0" collapsed="false">
      <c r="A39" s="19" t="str">
        <f aca="false">'Client-Product Master'!B7</f>
        <v>Hospet Steels Limited</v>
      </c>
      <c r="B39" s="19" t="str">
        <f aca="false">'Client-Product Master'!C7</f>
        <v>Hot metal weighing system 100 ton</v>
      </c>
      <c r="C39" s="20" t="n">
        <f aca="false">'Client-Product Master'!E7</f>
        <v>0</v>
      </c>
      <c r="D39" s="8" t="n">
        <v>3</v>
      </c>
      <c r="E39" s="21" t="n">
        <f aca="false">INDEX('AMC &amp; Spares % Assumptions'!$B$5:$B$11, D39)</f>
        <v>0.045</v>
      </c>
      <c r="F39" s="22" t="n">
        <f aca="false">C39*E39</f>
        <v>0</v>
      </c>
      <c r="G39" s="21" t="n">
        <f aca="false">INDEX('AMC &amp; Spares % Assumptions'!$C$5:$C$11, D39)</f>
        <v>0.045</v>
      </c>
      <c r="H39" s="22" t="n">
        <f aca="false">C39*G39</f>
        <v>0</v>
      </c>
      <c r="I39" s="23" t="n">
        <f aca="false">F39+H39</f>
        <v>0</v>
      </c>
    </row>
    <row r="40" customFormat="false" ht="15" hidden="false" customHeight="false" outlineLevel="0" collapsed="false">
      <c r="A40" s="19" t="str">
        <f aca="false">'Client-Product Master'!B7</f>
        <v>Hospet Steels Limited</v>
      </c>
      <c r="B40" s="19" t="str">
        <f aca="false">'Client-Product Master'!C7</f>
        <v>Hot metal weighing system 100 ton</v>
      </c>
      <c r="C40" s="20" t="n">
        <f aca="false">'Client-Product Master'!E7</f>
        <v>0</v>
      </c>
      <c r="D40" s="8" t="n">
        <v>4</v>
      </c>
      <c r="E40" s="21" t="n">
        <f aca="false">INDEX('AMC &amp; Spares % Assumptions'!$B$5:$B$11, D40)</f>
        <v>0.055</v>
      </c>
      <c r="F40" s="22" t="n">
        <f aca="false">C40*E40</f>
        <v>0</v>
      </c>
      <c r="G40" s="21" t="n">
        <f aca="false">INDEX('AMC &amp; Spares % Assumptions'!$C$5:$C$11, D40)</f>
        <v>0.06</v>
      </c>
      <c r="H40" s="22" t="n">
        <f aca="false">C40*G40</f>
        <v>0</v>
      </c>
      <c r="I40" s="23" t="n">
        <f aca="false">F40+H40</f>
        <v>0</v>
      </c>
    </row>
    <row r="41" customFormat="false" ht="15" hidden="false" customHeight="false" outlineLevel="0" collapsed="false">
      <c r="A41" s="19" t="str">
        <f aca="false">'Client-Product Master'!B7</f>
        <v>Hospet Steels Limited</v>
      </c>
      <c r="B41" s="19" t="str">
        <f aca="false">'Client-Product Master'!C7</f>
        <v>Hot metal weighing system 100 ton</v>
      </c>
      <c r="C41" s="20" t="n">
        <f aca="false">'Client-Product Master'!E7</f>
        <v>0</v>
      </c>
      <c r="D41" s="8" t="n">
        <v>5</v>
      </c>
      <c r="E41" s="21" t="n">
        <f aca="false">INDEX('AMC &amp; Spares % Assumptions'!$B$5:$B$11, D41)</f>
        <v>0.06</v>
      </c>
      <c r="F41" s="22" t="n">
        <f aca="false">C41*E41</f>
        <v>0</v>
      </c>
      <c r="G41" s="21" t="n">
        <f aca="false">INDEX('AMC &amp; Spares % Assumptions'!$C$5:$C$11, D41)</f>
        <v>0.075</v>
      </c>
      <c r="H41" s="22" t="n">
        <f aca="false">C41*G41</f>
        <v>0</v>
      </c>
      <c r="I41" s="23" t="n">
        <f aca="false">F41+H41</f>
        <v>0</v>
      </c>
    </row>
    <row r="42" customFormat="false" ht="15" hidden="false" customHeight="false" outlineLevel="0" collapsed="false">
      <c r="A42" s="19" t="str">
        <f aca="false">'Client-Product Master'!B7</f>
        <v>Hospet Steels Limited</v>
      </c>
      <c r="B42" s="19" t="str">
        <f aca="false">'Client-Product Master'!C7</f>
        <v>Hot metal weighing system 100 ton</v>
      </c>
      <c r="C42" s="20" t="n">
        <f aca="false">'Client-Product Master'!E7</f>
        <v>0</v>
      </c>
      <c r="D42" s="8" t="n">
        <v>6</v>
      </c>
      <c r="E42" s="21" t="n">
        <f aca="false">INDEX('AMC &amp; Spares % Assumptions'!$B$5:$B$11, D42)</f>
        <v>0.065</v>
      </c>
      <c r="F42" s="22" t="n">
        <f aca="false">C42*E42</f>
        <v>0</v>
      </c>
      <c r="G42" s="21" t="n">
        <f aca="false">INDEX('AMC &amp; Spares % Assumptions'!$C$5:$C$11, D42)</f>
        <v>0.085</v>
      </c>
      <c r="H42" s="22" t="n">
        <f aca="false">C42*G42</f>
        <v>0</v>
      </c>
      <c r="I42" s="23" t="n">
        <f aca="false">F42+H42</f>
        <v>0</v>
      </c>
    </row>
    <row r="43" customFormat="false" ht="15" hidden="false" customHeight="false" outlineLevel="0" collapsed="false">
      <c r="A43" s="19" t="str">
        <f aca="false">'Client-Product Master'!B7</f>
        <v>Hospet Steels Limited</v>
      </c>
      <c r="B43" s="19" t="str">
        <f aca="false">'Client-Product Master'!C7</f>
        <v>Hot metal weighing system 100 ton</v>
      </c>
      <c r="C43" s="20" t="n">
        <f aca="false">'Client-Product Master'!E7</f>
        <v>0</v>
      </c>
      <c r="D43" s="8" t="n">
        <v>7</v>
      </c>
      <c r="E43" s="21" t="n">
        <f aca="false">INDEX('AMC &amp; Spares % Assumptions'!$B$5:$B$11, D43)</f>
        <v>0.07</v>
      </c>
      <c r="F43" s="22" t="n">
        <f aca="false">C43*E43</f>
        <v>0</v>
      </c>
      <c r="G43" s="21" t="n">
        <f aca="false">INDEX('AMC &amp; Spares % Assumptions'!$C$5:$C$11, D43)</f>
        <v>0.095</v>
      </c>
      <c r="H43" s="22" t="n">
        <f aca="false">C43*G43</f>
        <v>0</v>
      </c>
      <c r="I43" s="23" t="n">
        <f aca="false">F43+H43</f>
        <v>0</v>
      </c>
    </row>
    <row r="44" customFormat="false" ht="15" hidden="false" customHeight="false" outlineLevel="0" collapsed="false">
      <c r="A44" s="19" t="str">
        <f aca="false">'Client-Product Master'!B8</f>
        <v>Tata Steel Long products limited</v>
      </c>
      <c r="B44" s="19" t="str">
        <f aca="false">'Client-Product Master'!C8</f>
        <v>COIL WEIGHING SYSTEM- 5MT</v>
      </c>
      <c r="C44" s="20" t="n">
        <f aca="false">'Client-Product Master'!E8</f>
        <v>0</v>
      </c>
      <c r="D44" s="8" t="n">
        <v>1</v>
      </c>
      <c r="E44" s="21" t="n">
        <f aca="false">INDEX('AMC &amp; Spares % Assumptions'!$B$5:$B$11, D44)</f>
        <v>0.015</v>
      </c>
      <c r="F44" s="22" t="n">
        <f aca="false">C44*E44</f>
        <v>0</v>
      </c>
      <c r="G44" s="21" t="n">
        <f aca="false">INDEX('AMC &amp; Spares % Assumptions'!$C$5:$C$11, D44)</f>
        <v>0.01</v>
      </c>
      <c r="H44" s="22" t="n">
        <f aca="false">C44*G44</f>
        <v>0</v>
      </c>
      <c r="I44" s="23" t="n">
        <f aca="false">F44+H44</f>
        <v>0</v>
      </c>
    </row>
    <row r="45" customFormat="false" ht="15" hidden="false" customHeight="false" outlineLevel="0" collapsed="false">
      <c r="A45" s="19" t="str">
        <f aca="false">'Client-Product Master'!B8</f>
        <v>Tata Steel Long products limited</v>
      </c>
      <c r="B45" s="19" t="str">
        <f aca="false">'Client-Product Master'!C8</f>
        <v>COIL WEIGHING SYSTEM- 5MT</v>
      </c>
      <c r="C45" s="20" t="n">
        <f aca="false">'Client-Product Master'!E8</f>
        <v>0</v>
      </c>
      <c r="D45" s="8" t="n">
        <v>2</v>
      </c>
      <c r="E45" s="21" t="n">
        <f aca="false">INDEX('AMC &amp; Spares % Assumptions'!$B$5:$B$11, D45)</f>
        <v>0.03</v>
      </c>
      <c r="F45" s="22" t="n">
        <f aca="false">C45*E45</f>
        <v>0</v>
      </c>
      <c r="G45" s="21" t="n">
        <f aca="false">INDEX('AMC &amp; Spares % Assumptions'!$C$5:$C$11, D45)</f>
        <v>0.025</v>
      </c>
      <c r="H45" s="22" t="n">
        <f aca="false">C45*G45</f>
        <v>0</v>
      </c>
      <c r="I45" s="23" t="n">
        <f aca="false">F45+H45</f>
        <v>0</v>
      </c>
    </row>
    <row r="46" customFormat="false" ht="15" hidden="false" customHeight="false" outlineLevel="0" collapsed="false">
      <c r="A46" s="19" t="str">
        <f aca="false">'Client-Product Master'!B8</f>
        <v>Tata Steel Long products limited</v>
      </c>
      <c r="B46" s="19" t="str">
        <f aca="false">'Client-Product Master'!C8</f>
        <v>COIL WEIGHING SYSTEM- 5MT</v>
      </c>
      <c r="C46" s="20" t="n">
        <f aca="false">'Client-Product Master'!E8</f>
        <v>0</v>
      </c>
      <c r="D46" s="8" t="n">
        <v>3</v>
      </c>
      <c r="E46" s="21" t="n">
        <f aca="false">INDEX('AMC &amp; Spares % Assumptions'!$B$5:$B$11, D46)</f>
        <v>0.045</v>
      </c>
      <c r="F46" s="22" t="n">
        <f aca="false">C46*E46</f>
        <v>0</v>
      </c>
      <c r="G46" s="21" t="n">
        <f aca="false">INDEX('AMC &amp; Spares % Assumptions'!$C$5:$C$11, D46)</f>
        <v>0.045</v>
      </c>
      <c r="H46" s="22" t="n">
        <f aca="false">C46*G46</f>
        <v>0</v>
      </c>
      <c r="I46" s="23" t="n">
        <f aca="false">F46+H46</f>
        <v>0</v>
      </c>
    </row>
    <row r="47" customFormat="false" ht="15" hidden="false" customHeight="false" outlineLevel="0" collapsed="false">
      <c r="A47" s="19" t="str">
        <f aca="false">'Client-Product Master'!B8</f>
        <v>Tata Steel Long products limited</v>
      </c>
      <c r="B47" s="19" t="str">
        <f aca="false">'Client-Product Master'!C8</f>
        <v>COIL WEIGHING SYSTEM- 5MT</v>
      </c>
      <c r="C47" s="20" t="n">
        <f aca="false">'Client-Product Master'!E8</f>
        <v>0</v>
      </c>
      <c r="D47" s="8" t="n">
        <v>4</v>
      </c>
      <c r="E47" s="21" t="n">
        <f aca="false">INDEX('AMC &amp; Spares % Assumptions'!$B$5:$B$11, D47)</f>
        <v>0.055</v>
      </c>
      <c r="F47" s="22" t="n">
        <f aca="false">C47*E47</f>
        <v>0</v>
      </c>
      <c r="G47" s="21" t="n">
        <f aca="false">INDEX('AMC &amp; Spares % Assumptions'!$C$5:$C$11, D47)</f>
        <v>0.06</v>
      </c>
      <c r="H47" s="22" t="n">
        <f aca="false">C47*G47</f>
        <v>0</v>
      </c>
      <c r="I47" s="23" t="n">
        <f aca="false">F47+H47</f>
        <v>0</v>
      </c>
    </row>
    <row r="48" customFormat="false" ht="15" hidden="false" customHeight="false" outlineLevel="0" collapsed="false">
      <c r="A48" s="19" t="str">
        <f aca="false">'Client-Product Master'!B8</f>
        <v>Tata Steel Long products limited</v>
      </c>
      <c r="B48" s="19" t="str">
        <f aca="false">'Client-Product Master'!C8</f>
        <v>COIL WEIGHING SYSTEM- 5MT</v>
      </c>
      <c r="C48" s="20" t="n">
        <f aca="false">'Client-Product Master'!E8</f>
        <v>0</v>
      </c>
      <c r="D48" s="8" t="n">
        <v>5</v>
      </c>
      <c r="E48" s="21" t="n">
        <f aca="false">INDEX('AMC &amp; Spares % Assumptions'!$B$5:$B$11, D48)</f>
        <v>0.06</v>
      </c>
      <c r="F48" s="22" t="n">
        <f aca="false">C48*E48</f>
        <v>0</v>
      </c>
      <c r="G48" s="21" t="n">
        <f aca="false">INDEX('AMC &amp; Spares % Assumptions'!$C$5:$C$11, D48)</f>
        <v>0.075</v>
      </c>
      <c r="H48" s="22" t="n">
        <f aca="false">C48*G48</f>
        <v>0</v>
      </c>
      <c r="I48" s="23" t="n">
        <f aca="false">F48+H48</f>
        <v>0</v>
      </c>
    </row>
    <row r="49" customFormat="false" ht="15" hidden="false" customHeight="false" outlineLevel="0" collapsed="false">
      <c r="A49" s="19" t="str">
        <f aca="false">'Client-Product Master'!B8</f>
        <v>Tata Steel Long products limited</v>
      </c>
      <c r="B49" s="19" t="str">
        <f aca="false">'Client-Product Master'!C8</f>
        <v>COIL WEIGHING SYSTEM- 5MT</v>
      </c>
      <c r="C49" s="20" t="n">
        <f aca="false">'Client-Product Master'!E8</f>
        <v>0</v>
      </c>
      <c r="D49" s="8" t="n">
        <v>6</v>
      </c>
      <c r="E49" s="21" t="n">
        <f aca="false">INDEX('AMC &amp; Spares % Assumptions'!$B$5:$B$11, D49)</f>
        <v>0.065</v>
      </c>
      <c r="F49" s="22" t="n">
        <f aca="false">C49*E49</f>
        <v>0</v>
      </c>
      <c r="G49" s="21" t="n">
        <f aca="false">INDEX('AMC &amp; Spares % Assumptions'!$C$5:$C$11, D49)</f>
        <v>0.085</v>
      </c>
      <c r="H49" s="22" t="n">
        <f aca="false">C49*G49</f>
        <v>0</v>
      </c>
      <c r="I49" s="23" t="n">
        <f aca="false">F49+H49</f>
        <v>0</v>
      </c>
    </row>
    <row r="50" customFormat="false" ht="15" hidden="false" customHeight="false" outlineLevel="0" collapsed="false">
      <c r="A50" s="19" t="str">
        <f aca="false">'Client-Product Master'!B8</f>
        <v>Tata Steel Long products limited</v>
      </c>
      <c r="B50" s="19" t="str">
        <f aca="false">'Client-Product Master'!C8</f>
        <v>COIL WEIGHING SYSTEM- 5MT</v>
      </c>
      <c r="C50" s="20" t="n">
        <f aca="false">'Client-Product Master'!E8</f>
        <v>0</v>
      </c>
      <c r="D50" s="8" t="n">
        <v>7</v>
      </c>
      <c r="E50" s="21" t="n">
        <f aca="false">INDEX('AMC &amp; Spares % Assumptions'!$B$5:$B$11, D50)</f>
        <v>0.07</v>
      </c>
      <c r="F50" s="22" t="n">
        <f aca="false">C50*E50</f>
        <v>0</v>
      </c>
      <c r="G50" s="21" t="n">
        <f aca="false">INDEX('AMC &amp; Spares % Assumptions'!$C$5:$C$11, D50)</f>
        <v>0.095</v>
      </c>
      <c r="H50" s="22" t="n">
        <f aca="false">C50*G50</f>
        <v>0</v>
      </c>
      <c r="I50" s="23" t="n">
        <f aca="false">F50+H50</f>
        <v>0</v>
      </c>
    </row>
    <row r="51" customFormat="false" ht="15" hidden="false" customHeight="false" outlineLevel="0" collapsed="false">
      <c r="A51" s="19" t="str">
        <f aca="false">'Client-Product Master'!B9</f>
        <v>JAYASWAL NECO INDUSTRIES LIMITED</v>
      </c>
      <c r="B51" s="19" t="str">
        <f aca="false">'Client-Product Master'!C9</f>
        <v>TUNDISH WEIGHING SYSTEM</v>
      </c>
      <c r="C51" s="20" t="n">
        <f aca="false">'Client-Product Master'!E9</f>
        <v>0</v>
      </c>
      <c r="D51" s="8" t="n">
        <v>1</v>
      </c>
      <c r="E51" s="21" t="n">
        <f aca="false">INDEX('AMC &amp; Spares % Assumptions'!$B$5:$B$11, D51)</f>
        <v>0.015</v>
      </c>
      <c r="F51" s="22" t="n">
        <f aca="false">C51*E51</f>
        <v>0</v>
      </c>
      <c r="G51" s="21" t="n">
        <f aca="false">INDEX('AMC &amp; Spares % Assumptions'!$C$5:$C$11, D51)</f>
        <v>0.01</v>
      </c>
      <c r="H51" s="22" t="n">
        <f aca="false">C51*G51</f>
        <v>0</v>
      </c>
      <c r="I51" s="23" t="n">
        <f aca="false">F51+H51</f>
        <v>0</v>
      </c>
    </row>
    <row r="52" customFormat="false" ht="15" hidden="false" customHeight="false" outlineLevel="0" collapsed="false">
      <c r="A52" s="19" t="str">
        <f aca="false">'Client-Product Master'!B9</f>
        <v>JAYASWAL NECO INDUSTRIES LIMITED</v>
      </c>
      <c r="B52" s="19" t="str">
        <f aca="false">'Client-Product Master'!C9</f>
        <v>TUNDISH WEIGHING SYSTEM</v>
      </c>
      <c r="C52" s="20" t="n">
        <f aca="false">'Client-Product Master'!E9</f>
        <v>0</v>
      </c>
      <c r="D52" s="8" t="n">
        <v>2</v>
      </c>
      <c r="E52" s="21" t="n">
        <f aca="false">INDEX('AMC &amp; Spares % Assumptions'!$B$5:$B$11, D52)</f>
        <v>0.03</v>
      </c>
      <c r="F52" s="22" t="n">
        <f aca="false">C52*E52</f>
        <v>0</v>
      </c>
      <c r="G52" s="21" t="n">
        <f aca="false">INDEX('AMC &amp; Spares % Assumptions'!$C$5:$C$11, D52)</f>
        <v>0.025</v>
      </c>
      <c r="H52" s="22" t="n">
        <f aca="false">C52*G52</f>
        <v>0</v>
      </c>
      <c r="I52" s="23" t="n">
        <f aca="false">F52+H52</f>
        <v>0</v>
      </c>
    </row>
    <row r="53" customFormat="false" ht="15" hidden="false" customHeight="false" outlineLevel="0" collapsed="false">
      <c r="A53" s="19" t="str">
        <f aca="false">'Client-Product Master'!B9</f>
        <v>JAYASWAL NECO INDUSTRIES LIMITED</v>
      </c>
      <c r="B53" s="19" t="str">
        <f aca="false">'Client-Product Master'!C9</f>
        <v>TUNDISH WEIGHING SYSTEM</v>
      </c>
      <c r="C53" s="20" t="n">
        <f aca="false">'Client-Product Master'!E9</f>
        <v>0</v>
      </c>
      <c r="D53" s="8" t="n">
        <v>3</v>
      </c>
      <c r="E53" s="21" t="n">
        <f aca="false">INDEX('AMC &amp; Spares % Assumptions'!$B$5:$B$11, D53)</f>
        <v>0.045</v>
      </c>
      <c r="F53" s="22" t="n">
        <f aca="false">C53*E53</f>
        <v>0</v>
      </c>
      <c r="G53" s="21" t="n">
        <f aca="false">INDEX('AMC &amp; Spares % Assumptions'!$C$5:$C$11, D53)</f>
        <v>0.045</v>
      </c>
      <c r="H53" s="22" t="n">
        <f aca="false">C53*G53</f>
        <v>0</v>
      </c>
      <c r="I53" s="23" t="n">
        <f aca="false">F53+H53</f>
        <v>0</v>
      </c>
    </row>
    <row r="54" customFormat="false" ht="15" hidden="false" customHeight="false" outlineLevel="0" collapsed="false">
      <c r="A54" s="19" t="str">
        <f aca="false">'Client-Product Master'!B9</f>
        <v>JAYASWAL NECO INDUSTRIES LIMITED</v>
      </c>
      <c r="B54" s="19" t="str">
        <f aca="false">'Client-Product Master'!C9</f>
        <v>TUNDISH WEIGHING SYSTEM</v>
      </c>
      <c r="C54" s="20" t="n">
        <f aca="false">'Client-Product Master'!E9</f>
        <v>0</v>
      </c>
      <c r="D54" s="8" t="n">
        <v>4</v>
      </c>
      <c r="E54" s="21" t="n">
        <f aca="false">INDEX('AMC &amp; Spares % Assumptions'!$B$5:$B$11, D54)</f>
        <v>0.055</v>
      </c>
      <c r="F54" s="22" t="n">
        <f aca="false">C54*E54</f>
        <v>0</v>
      </c>
      <c r="G54" s="21" t="n">
        <f aca="false">INDEX('AMC &amp; Spares % Assumptions'!$C$5:$C$11, D54)</f>
        <v>0.06</v>
      </c>
      <c r="H54" s="22" t="n">
        <f aca="false">C54*G54</f>
        <v>0</v>
      </c>
      <c r="I54" s="23" t="n">
        <f aca="false">F54+H54</f>
        <v>0</v>
      </c>
    </row>
    <row r="55" customFormat="false" ht="15" hidden="false" customHeight="false" outlineLevel="0" collapsed="false">
      <c r="A55" s="19" t="str">
        <f aca="false">'Client-Product Master'!B9</f>
        <v>JAYASWAL NECO INDUSTRIES LIMITED</v>
      </c>
      <c r="B55" s="19" t="str">
        <f aca="false">'Client-Product Master'!C9</f>
        <v>TUNDISH WEIGHING SYSTEM</v>
      </c>
      <c r="C55" s="20" t="n">
        <f aca="false">'Client-Product Master'!E9</f>
        <v>0</v>
      </c>
      <c r="D55" s="8" t="n">
        <v>5</v>
      </c>
      <c r="E55" s="21" t="n">
        <f aca="false">INDEX('AMC &amp; Spares % Assumptions'!$B$5:$B$11, D55)</f>
        <v>0.06</v>
      </c>
      <c r="F55" s="22" t="n">
        <f aca="false">C55*E55</f>
        <v>0</v>
      </c>
      <c r="G55" s="21" t="n">
        <f aca="false">INDEX('AMC &amp; Spares % Assumptions'!$C$5:$C$11, D55)</f>
        <v>0.075</v>
      </c>
      <c r="H55" s="22" t="n">
        <f aca="false">C55*G55</f>
        <v>0</v>
      </c>
      <c r="I55" s="23" t="n">
        <f aca="false">F55+H55</f>
        <v>0</v>
      </c>
    </row>
    <row r="56" customFormat="false" ht="15" hidden="false" customHeight="false" outlineLevel="0" collapsed="false">
      <c r="A56" s="19" t="str">
        <f aca="false">'Client-Product Master'!B9</f>
        <v>JAYASWAL NECO INDUSTRIES LIMITED</v>
      </c>
      <c r="B56" s="19" t="str">
        <f aca="false">'Client-Product Master'!C9</f>
        <v>TUNDISH WEIGHING SYSTEM</v>
      </c>
      <c r="C56" s="20" t="n">
        <f aca="false">'Client-Product Master'!E9</f>
        <v>0</v>
      </c>
      <c r="D56" s="8" t="n">
        <v>6</v>
      </c>
      <c r="E56" s="21" t="n">
        <f aca="false">INDEX('AMC &amp; Spares % Assumptions'!$B$5:$B$11, D56)</f>
        <v>0.065</v>
      </c>
      <c r="F56" s="22" t="n">
        <f aca="false">C56*E56</f>
        <v>0</v>
      </c>
      <c r="G56" s="21" t="n">
        <f aca="false">INDEX('AMC &amp; Spares % Assumptions'!$C$5:$C$11, D56)</f>
        <v>0.085</v>
      </c>
      <c r="H56" s="22" t="n">
        <f aca="false">C56*G56</f>
        <v>0</v>
      </c>
      <c r="I56" s="23" t="n">
        <f aca="false">F56+H56</f>
        <v>0</v>
      </c>
    </row>
    <row r="57" customFormat="false" ht="15" hidden="false" customHeight="false" outlineLevel="0" collapsed="false">
      <c r="A57" s="19" t="str">
        <f aca="false">'Client-Product Master'!B9</f>
        <v>JAYASWAL NECO INDUSTRIES LIMITED</v>
      </c>
      <c r="B57" s="19" t="str">
        <f aca="false">'Client-Product Master'!C9</f>
        <v>TUNDISH WEIGHING SYSTEM</v>
      </c>
      <c r="C57" s="20" t="n">
        <f aca="false">'Client-Product Master'!E9</f>
        <v>0</v>
      </c>
      <c r="D57" s="8" t="n">
        <v>7</v>
      </c>
      <c r="E57" s="21" t="n">
        <f aca="false">INDEX('AMC &amp; Spares % Assumptions'!$B$5:$B$11, D57)</f>
        <v>0.07</v>
      </c>
      <c r="F57" s="22" t="n">
        <f aca="false">C57*E57</f>
        <v>0</v>
      </c>
      <c r="G57" s="21" t="n">
        <f aca="false">INDEX('AMC &amp; Spares % Assumptions'!$C$5:$C$11, D57)</f>
        <v>0.095</v>
      </c>
      <c r="H57" s="22" t="n">
        <f aca="false">C57*G57</f>
        <v>0</v>
      </c>
      <c r="I57" s="23" t="n">
        <f aca="false">F57+H57</f>
        <v>0</v>
      </c>
    </row>
    <row r="58" customFormat="false" ht="15" hidden="false" customHeight="false" outlineLevel="0" collapsed="false">
      <c r="A58" s="19" t="str">
        <f aca="false">'Client-Product Master'!B10</f>
        <v>JAYASWAL NECO INDUSTRIES LIMITED</v>
      </c>
      <c r="B58" s="19" t="str">
        <f aca="false">'Client-Product Master'!C10</f>
        <v>TUNDISH CAR WEIGHING SYSTEM</v>
      </c>
      <c r="C58" s="20" t="n">
        <f aca="false">'Client-Product Master'!E10</f>
        <v>0</v>
      </c>
      <c r="D58" s="8" t="n">
        <v>1</v>
      </c>
      <c r="E58" s="21" t="n">
        <f aca="false">INDEX('AMC &amp; Spares % Assumptions'!$B$5:$B$11, D58)</f>
        <v>0.015</v>
      </c>
      <c r="F58" s="22" t="n">
        <f aca="false">C58*E58</f>
        <v>0</v>
      </c>
      <c r="G58" s="21" t="n">
        <f aca="false">INDEX('AMC &amp; Spares % Assumptions'!$C$5:$C$11, D58)</f>
        <v>0.01</v>
      </c>
      <c r="H58" s="22" t="n">
        <f aca="false">C58*G58</f>
        <v>0</v>
      </c>
      <c r="I58" s="23" t="n">
        <f aca="false">F58+H58</f>
        <v>0</v>
      </c>
    </row>
    <row r="59" customFormat="false" ht="15" hidden="false" customHeight="false" outlineLevel="0" collapsed="false">
      <c r="A59" s="19" t="str">
        <f aca="false">'Client-Product Master'!B10</f>
        <v>JAYASWAL NECO INDUSTRIES LIMITED</v>
      </c>
      <c r="B59" s="19" t="str">
        <f aca="false">'Client-Product Master'!C10</f>
        <v>TUNDISH CAR WEIGHING SYSTEM</v>
      </c>
      <c r="C59" s="20" t="n">
        <f aca="false">'Client-Product Master'!E10</f>
        <v>0</v>
      </c>
      <c r="D59" s="8" t="n">
        <v>2</v>
      </c>
      <c r="E59" s="21" t="n">
        <f aca="false">INDEX('AMC &amp; Spares % Assumptions'!$B$5:$B$11, D59)</f>
        <v>0.03</v>
      </c>
      <c r="F59" s="22" t="n">
        <f aca="false">C59*E59</f>
        <v>0</v>
      </c>
      <c r="G59" s="21" t="n">
        <f aca="false">INDEX('AMC &amp; Spares % Assumptions'!$C$5:$C$11, D59)</f>
        <v>0.025</v>
      </c>
      <c r="H59" s="22" t="n">
        <f aca="false">C59*G59</f>
        <v>0</v>
      </c>
      <c r="I59" s="23" t="n">
        <f aca="false">F59+H59</f>
        <v>0</v>
      </c>
    </row>
    <row r="60" customFormat="false" ht="15" hidden="false" customHeight="false" outlineLevel="0" collapsed="false">
      <c r="A60" s="19" t="str">
        <f aca="false">'Client-Product Master'!B10</f>
        <v>JAYASWAL NECO INDUSTRIES LIMITED</v>
      </c>
      <c r="B60" s="19" t="str">
        <f aca="false">'Client-Product Master'!C10</f>
        <v>TUNDISH CAR WEIGHING SYSTEM</v>
      </c>
      <c r="C60" s="20" t="n">
        <f aca="false">'Client-Product Master'!E10</f>
        <v>0</v>
      </c>
      <c r="D60" s="8" t="n">
        <v>3</v>
      </c>
      <c r="E60" s="21" t="n">
        <f aca="false">INDEX('AMC &amp; Spares % Assumptions'!$B$5:$B$11, D60)</f>
        <v>0.045</v>
      </c>
      <c r="F60" s="22" t="n">
        <f aca="false">C60*E60</f>
        <v>0</v>
      </c>
      <c r="G60" s="21" t="n">
        <f aca="false">INDEX('AMC &amp; Spares % Assumptions'!$C$5:$C$11, D60)</f>
        <v>0.045</v>
      </c>
      <c r="H60" s="22" t="n">
        <f aca="false">C60*G60</f>
        <v>0</v>
      </c>
      <c r="I60" s="23" t="n">
        <f aca="false">F60+H60</f>
        <v>0</v>
      </c>
    </row>
    <row r="61" customFormat="false" ht="15" hidden="false" customHeight="false" outlineLevel="0" collapsed="false">
      <c r="A61" s="19" t="str">
        <f aca="false">'Client-Product Master'!B10</f>
        <v>JAYASWAL NECO INDUSTRIES LIMITED</v>
      </c>
      <c r="B61" s="19" t="str">
        <f aca="false">'Client-Product Master'!C10</f>
        <v>TUNDISH CAR WEIGHING SYSTEM</v>
      </c>
      <c r="C61" s="20" t="n">
        <f aca="false">'Client-Product Master'!E10</f>
        <v>0</v>
      </c>
      <c r="D61" s="8" t="n">
        <v>4</v>
      </c>
      <c r="E61" s="21" t="n">
        <f aca="false">INDEX('AMC &amp; Spares % Assumptions'!$B$5:$B$11, D61)</f>
        <v>0.055</v>
      </c>
      <c r="F61" s="22" t="n">
        <f aca="false">C61*E61</f>
        <v>0</v>
      </c>
      <c r="G61" s="21" t="n">
        <f aca="false">INDEX('AMC &amp; Spares % Assumptions'!$C$5:$C$11, D61)</f>
        <v>0.06</v>
      </c>
      <c r="H61" s="22" t="n">
        <f aca="false">C61*G61</f>
        <v>0</v>
      </c>
      <c r="I61" s="23" t="n">
        <f aca="false">F61+H61</f>
        <v>0</v>
      </c>
    </row>
    <row r="62" customFormat="false" ht="15" hidden="false" customHeight="false" outlineLevel="0" collapsed="false">
      <c r="A62" s="19" t="str">
        <f aca="false">'Client-Product Master'!B10</f>
        <v>JAYASWAL NECO INDUSTRIES LIMITED</v>
      </c>
      <c r="B62" s="19" t="str">
        <f aca="false">'Client-Product Master'!C10</f>
        <v>TUNDISH CAR WEIGHING SYSTEM</v>
      </c>
      <c r="C62" s="20" t="n">
        <f aca="false">'Client-Product Master'!E10</f>
        <v>0</v>
      </c>
      <c r="D62" s="8" t="n">
        <v>5</v>
      </c>
      <c r="E62" s="21" t="n">
        <f aca="false">INDEX('AMC &amp; Spares % Assumptions'!$B$5:$B$11, D62)</f>
        <v>0.06</v>
      </c>
      <c r="F62" s="22" t="n">
        <f aca="false">C62*E62</f>
        <v>0</v>
      </c>
      <c r="G62" s="21" t="n">
        <f aca="false">INDEX('AMC &amp; Spares % Assumptions'!$C$5:$C$11, D62)</f>
        <v>0.075</v>
      </c>
      <c r="H62" s="22" t="n">
        <f aca="false">C62*G62</f>
        <v>0</v>
      </c>
      <c r="I62" s="23" t="n">
        <f aca="false">F62+H62</f>
        <v>0</v>
      </c>
    </row>
    <row r="63" customFormat="false" ht="15" hidden="false" customHeight="false" outlineLevel="0" collapsed="false">
      <c r="A63" s="19" t="str">
        <f aca="false">'Client-Product Master'!B10</f>
        <v>JAYASWAL NECO INDUSTRIES LIMITED</v>
      </c>
      <c r="B63" s="19" t="str">
        <f aca="false">'Client-Product Master'!C10</f>
        <v>TUNDISH CAR WEIGHING SYSTEM</v>
      </c>
      <c r="C63" s="20" t="n">
        <f aca="false">'Client-Product Master'!E10</f>
        <v>0</v>
      </c>
      <c r="D63" s="8" t="n">
        <v>6</v>
      </c>
      <c r="E63" s="21" t="n">
        <f aca="false">INDEX('AMC &amp; Spares % Assumptions'!$B$5:$B$11, D63)</f>
        <v>0.065</v>
      </c>
      <c r="F63" s="22" t="n">
        <f aca="false">C63*E63</f>
        <v>0</v>
      </c>
      <c r="G63" s="21" t="n">
        <f aca="false">INDEX('AMC &amp; Spares % Assumptions'!$C$5:$C$11, D63)</f>
        <v>0.085</v>
      </c>
      <c r="H63" s="22" t="n">
        <f aca="false">C63*G63</f>
        <v>0</v>
      </c>
      <c r="I63" s="23" t="n">
        <f aca="false">F63+H63</f>
        <v>0</v>
      </c>
    </row>
    <row r="64" customFormat="false" ht="15" hidden="false" customHeight="false" outlineLevel="0" collapsed="false">
      <c r="A64" s="19" t="str">
        <f aca="false">'Client-Product Master'!B10</f>
        <v>JAYASWAL NECO INDUSTRIES LIMITED</v>
      </c>
      <c r="B64" s="19" t="str">
        <f aca="false">'Client-Product Master'!C10</f>
        <v>TUNDISH CAR WEIGHING SYSTEM</v>
      </c>
      <c r="C64" s="20" t="n">
        <f aca="false">'Client-Product Master'!E10</f>
        <v>0</v>
      </c>
      <c r="D64" s="8" t="n">
        <v>7</v>
      </c>
      <c r="E64" s="21" t="n">
        <f aca="false">INDEX('AMC &amp; Spares % Assumptions'!$B$5:$B$11, D64)</f>
        <v>0.07</v>
      </c>
      <c r="F64" s="22" t="n">
        <f aca="false">C64*E64</f>
        <v>0</v>
      </c>
      <c r="G64" s="21" t="n">
        <f aca="false">INDEX('AMC &amp; Spares % Assumptions'!$C$5:$C$11, D64)</f>
        <v>0.095</v>
      </c>
      <c r="H64" s="22" t="n">
        <f aca="false">C64*G64</f>
        <v>0</v>
      </c>
      <c r="I64" s="23" t="n">
        <f aca="false">F64+H64</f>
        <v>0</v>
      </c>
    </row>
    <row r="65" customFormat="false" ht="15" hidden="false" customHeight="false" outlineLevel="0" collapsed="false">
      <c r="A65" s="19" t="str">
        <f aca="false">'Client-Product Master'!B11</f>
        <v>FRIGATE TEKNOLOGIES PRIVATE LIMITED</v>
      </c>
      <c r="B65" s="19" t="str">
        <f aca="false">'Client-Product Master'!C11</f>
        <v>Rail Static weigh Bridge</v>
      </c>
      <c r="C65" s="20" t="n">
        <f aca="false">'Client-Product Master'!E11</f>
        <v>0</v>
      </c>
      <c r="D65" s="8" t="n">
        <v>1</v>
      </c>
      <c r="E65" s="21" t="n">
        <f aca="false">INDEX('AMC &amp; Spares % Assumptions'!$B$5:$B$11, D65)</f>
        <v>0.015</v>
      </c>
      <c r="F65" s="22" t="n">
        <f aca="false">C65*E65</f>
        <v>0</v>
      </c>
      <c r="G65" s="21" t="n">
        <f aca="false">INDEX('AMC &amp; Spares % Assumptions'!$C$5:$C$11, D65)</f>
        <v>0.01</v>
      </c>
      <c r="H65" s="22" t="n">
        <f aca="false">C65*G65</f>
        <v>0</v>
      </c>
      <c r="I65" s="23" t="n">
        <f aca="false">F65+H65</f>
        <v>0</v>
      </c>
    </row>
    <row r="66" customFormat="false" ht="15" hidden="false" customHeight="false" outlineLevel="0" collapsed="false">
      <c r="A66" s="19" t="str">
        <f aca="false">'Client-Product Master'!B11</f>
        <v>FRIGATE TEKNOLOGIES PRIVATE LIMITED</v>
      </c>
      <c r="B66" s="19" t="str">
        <f aca="false">'Client-Product Master'!C11</f>
        <v>Rail Static weigh Bridge</v>
      </c>
      <c r="C66" s="20" t="n">
        <f aca="false">'Client-Product Master'!E11</f>
        <v>0</v>
      </c>
      <c r="D66" s="8" t="n">
        <v>2</v>
      </c>
      <c r="E66" s="21" t="n">
        <f aca="false">INDEX('AMC &amp; Spares % Assumptions'!$B$5:$B$11, D66)</f>
        <v>0.03</v>
      </c>
      <c r="F66" s="22" t="n">
        <f aca="false">C66*E66</f>
        <v>0</v>
      </c>
      <c r="G66" s="21" t="n">
        <f aca="false">INDEX('AMC &amp; Spares % Assumptions'!$C$5:$C$11, D66)</f>
        <v>0.025</v>
      </c>
      <c r="H66" s="22" t="n">
        <f aca="false">C66*G66</f>
        <v>0</v>
      </c>
      <c r="I66" s="23" t="n">
        <f aca="false">F66+H66</f>
        <v>0</v>
      </c>
    </row>
    <row r="67" customFormat="false" ht="15" hidden="false" customHeight="false" outlineLevel="0" collapsed="false">
      <c r="A67" s="19" t="str">
        <f aca="false">'Client-Product Master'!B11</f>
        <v>FRIGATE TEKNOLOGIES PRIVATE LIMITED</v>
      </c>
      <c r="B67" s="19" t="str">
        <f aca="false">'Client-Product Master'!C11</f>
        <v>Rail Static weigh Bridge</v>
      </c>
      <c r="C67" s="20" t="n">
        <f aca="false">'Client-Product Master'!E11</f>
        <v>0</v>
      </c>
      <c r="D67" s="8" t="n">
        <v>3</v>
      </c>
      <c r="E67" s="21" t="n">
        <f aca="false">INDEX('AMC &amp; Spares % Assumptions'!$B$5:$B$11, D67)</f>
        <v>0.045</v>
      </c>
      <c r="F67" s="22" t="n">
        <f aca="false">C67*E67</f>
        <v>0</v>
      </c>
      <c r="G67" s="21" t="n">
        <f aca="false">INDEX('AMC &amp; Spares % Assumptions'!$C$5:$C$11, D67)</f>
        <v>0.045</v>
      </c>
      <c r="H67" s="22" t="n">
        <f aca="false">C67*G67</f>
        <v>0</v>
      </c>
      <c r="I67" s="23" t="n">
        <f aca="false">F67+H67</f>
        <v>0</v>
      </c>
    </row>
    <row r="68" customFormat="false" ht="15" hidden="false" customHeight="false" outlineLevel="0" collapsed="false">
      <c r="A68" s="19" t="str">
        <f aca="false">'Client-Product Master'!B11</f>
        <v>FRIGATE TEKNOLOGIES PRIVATE LIMITED</v>
      </c>
      <c r="B68" s="19" t="str">
        <f aca="false">'Client-Product Master'!C11</f>
        <v>Rail Static weigh Bridge</v>
      </c>
      <c r="C68" s="20" t="n">
        <f aca="false">'Client-Product Master'!E11</f>
        <v>0</v>
      </c>
      <c r="D68" s="8" t="n">
        <v>4</v>
      </c>
      <c r="E68" s="21" t="n">
        <f aca="false">INDEX('AMC &amp; Spares % Assumptions'!$B$5:$B$11, D68)</f>
        <v>0.055</v>
      </c>
      <c r="F68" s="22" t="n">
        <f aca="false">C68*E68</f>
        <v>0</v>
      </c>
      <c r="G68" s="21" t="n">
        <f aca="false">INDEX('AMC &amp; Spares % Assumptions'!$C$5:$C$11, D68)</f>
        <v>0.06</v>
      </c>
      <c r="H68" s="22" t="n">
        <f aca="false">C68*G68</f>
        <v>0</v>
      </c>
      <c r="I68" s="23" t="n">
        <f aca="false">F68+H68</f>
        <v>0</v>
      </c>
    </row>
    <row r="69" customFormat="false" ht="15" hidden="false" customHeight="false" outlineLevel="0" collapsed="false">
      <c r="A69" s="19" t="str">
        <f aca="false">'Client-Product Master'!B11</f>
        <v>FRIGATE TEKNOLOGIES PRIVATE LIMITED</v>
      </c>
      <c r="B69" s="19" t="str">
        <f aca="false">'Client-Product Master'!C11</f>
        <v>Rail Static weigh Bridge</v>
      </c>
      <c r="C69" s="20" t="n">
        <f aca="false">'Client-Product Master'!E11</f>
        <v>0</v>
      </c>
      <c r="D69" s="8" t="n">
        <v>5</v>
      </c>
      <c r="E69" s="21" t="n">
        <f aca="false">INDEX('AMC &amp; Spares % Assumptions'!$B$5:$B$11, D69)</f>
        <v>0.06</v>
      </c>
      <c r="F69" s="22" t="n">
        <f aca="false">C69*E69</f>
        <v>0</v>
      </c>
      <c r="G69" s="21" t="n">
        <f aca="false">INDEX('AMC &amp; Spares % Assumptions'!$C$5:$C$11, D69)</f>
        <v>0.075</v>
      </c>
      <c r="H69" s="22" t="n">
        <f aca="false">C69*G69</f>
        <v>0</v>
      </c>
      <c r="I69" s="23" t="n">
        <f aca="false">F69+H69</f>
        <v>0</v>
      </c>
    </row>
    <row r="70" customFormat="false" ht="15" hidden="false" customHeight="false" outlineLevel="0" collapsed="false">
      <c r="A70" s="19" t="str">
        <f aca="false">'Client-Product Master'!B11</f>
        <v>FRIGATE TEKNOLOGIES PRIVATE LIMITED</v>
      </c>
      <c r="B70" s="19" t="str">
        <f aca="false">'Client-Product Master'!C11</f>
        <v>Rail Static weigh Bridge</v>
      </c>
      <c r="C70" s="20" t="n">
        <f aca="false">'Client-Product Master'!E11</f>
        <v>0</v>
      </c>
      <c r="D70" s="8" t="n">
        <v>6</v>
      </c>
      <c r="E70" s="21" t="n">
        <f aca="false">INDEX('AMC &amp; Spares % Assumptions'!$B$5:$B$11, D70)</f>
        <v>0.065</v>
      </c>
      <c r="F70" s="22" t="n">
        <f aca="false">C70*E70</f>
        <v>0</v>
      </c>
      <c r="G70" s="21" t="n">
        <f aca="false">INDEX('AMC &amp; Spares % Assumptions'!$C$5:$C$11, D70)</f>
        <v>0.085</v>
      </c>
      <c r="H70" s="22" t="n">
        <f aca="false">C70*G70</f>
        <v>0</v>
      </c>
      <c r="I70" s="23" t="n">
        <f aca="false">F70+H70</f>
        <v>0</v>
      </c>
    </row>
    <row r="71" customFormat="false" ht="15" hidden="false" customHeight="false" outlineLevel="0" collapsed="false">
      <c r="A71" s="19" t="str">
        <f aca="false">'Client-Product Master'!B11</f>
        <v>FRIGATE TEKNOLOGIES PRIVATE LIMITED</v>
      </c>
      <c r="B71" s="19" t="str">
        <f aca="false">'Client-Product Master'!C11</f>
        <v>Rail Static weigh Bridge</v>
      </c>
      <c r="C71" s="20" t="n">
        <f aca="false">'Client-Product Master'!E11</f>
        <v>0</v>
      </c>
      <c r="D71" s="8" t="n">
        <v>7</v>
      </c>
      <c r="E71" s="21" t="n">
        <f aca="false">INDEX('AMC &amp; Spares % Assumptions'!$B$5:$B$11, D71)</f>
        <v>0.07</v>
      </c>
      <c r="F71" s="22" t="n">
        <f aca="false">C71*E71</f>
        <v>0</v>
      </c>
      <c r="G71" s="21" t="n">
        <f aca="false">INDEX('AMC &amp; Spares % Assumptions'!$C$5:$C$11, D71)</f>
        <v>0.095</v>
      </c>
      <c r="H71" s="22" t="n">
        <f aca="false">C71*G71</f>
        <v>0</v>
      </c>
      <c r="I71" s="23" t="n">
        <f aca="false">F71+H71</f>
        <v>0</v>
      </c>
    </row>
    <row r="72" customFormat="false" ht="15" hidden="false" customHeight="false" outlineLevel="0" collapsed="false">
      <c r="A72" s="19" t="str">
        <f aca="false">'Client-Product Master'!B12</f>
        <v>NTPC solapur</v>
      </c>
      <c r="B72" s="19" t="str">
        <f aca="false">'Client-Product Master'!C12</f>
        <v>Rail Static Weighing System</v>
      </c>
      <c r="C72" s="20" t="n">
        <f aca="false">'Client-Product Master'!E12</f>
        <v>0</v>
      </c>
      <c r="D72" s="8" t="n">
        <v>1</v>
      </c>
      <c r="E72" s="21" t="n">
        <f aca="false">INDEX('AMC &amp; Spares % Assumptions'!$B$5:$B$11, D72)</f>
        <v>0.015</v>
      </c>
      <c r="F72" s="22" t="n">
        <f aca="false">C72*E72</f>
        <v>0</v>
      </c>
      <c r="G72" s="21" t="n">
        <f aca="false">INDEX('AMC &amp; Spares % Assumptions'!$C$5:$C$11, D72)</f>
        <v>0.01</v>
      </c>
      <c r="H72" s="22" t="n">
        <f aca="false">C72*G72</f>
        <v>0</v>
      </c>
      <c r="I72" s="23" t="n">
        <f aca="false">F72+H72</f>
        <v>0</v>
      </c>
    </row>
    <row r="73" customFormat="false" ht="15" hidden="false" customHeight="false" outlineLevel="0" collapsed="false">
      <c r="A73" s="19" t="str">
        <f aca="false">'Client-Product Master'!B12</f>
        <v>NTPC solapur</v>
      </c>
      <c r="B73" s="19" t="str">
        <f aca="false">'Client-Product Master'!C12</f>
        <v>Rail Static Weighing System</v>
      </c>
      <c r="C73" s="20" t="n">
        <f aca="false">'Client-Product Master'!E12</f>
        <v>0</v>
      </c>
      <c r="D73" s="8" t="n">
        <v>2</v>
      </c>
      <c r="E73" s="21" t="n">
        <f aca="false">INDEX('AMC &amp; Spares % Assumptions'!$B$5:$B$11, D73)</f>
        <v>0.03</v>
      </c>
      <c r="F73" s="22" t="n">
        <f aca="false">C73*E73</f>
        <v>0</v>
      </c>
      <c r="G73" s="21" t="n">
        <f aca="false">INDEX('AMC &amp; Spares % Assumptions'!$C$5:$C$11, D73)</f>
        <v>0.025</v>
      </c>
      <c r="H73" s="22" t="n">
        <f aca="false">C73*G73</f>
        <v>0</v>
      </c>
      <c r="I73" s="23" t="n">
        <f aca="false">F73+H73</f>
        <v>0</v>
      </c>
    </row>
    <row r="74" customFormat="false" ht="15" hidden="false" customHeight="false" outlineLevel="0" collapsed="false">
      <c r="A74" s="19" t="str">
        <f aca="false">'Client-Product Master'!B12</f>
        <v>NTPC solapur</v>
      </c>
      <c r="B74" s="19" t="str">
        <f aca="false">'Client-Product Master'!C12</f>
        <v>Rail Static Weighing System</v>
      </c>
      <c r="C74" s="20" t="n">
        <f aca="false">'Client-Product Master'!E12</f>
        <v>0</v>
      </c>
      <c r="D74" s="8" t="n">
        <v>3</v>
      </c>
      <c r="E74" s="21" t="n">
        <f aca="false">INDEX('AMC &amp; Spares % Assumptions'!$B$5:$B$11, D74)</f>
        <v>0.045</v>
      </c>
      <c r="F74" s="22" t="n">
        <f aca="false">C74*E74</f>
        <v>0</v>
      </c>
      <c r="G74" s="21" t="n">
        <f aca="false">INDEX('AMC &amp; Spares % Assumptions'!$C$5:$C$11, D74)</f>
        <v>0.045</v>
      </c>
      <c r="H74" s="22" t="n">
        <f aca="false">C74*G74</f>
        <v>0</v>
      </c>
      <c r="I74" s="23" t="n">
        <f aca="false">F74+H74</f>
        <v>0</v>
      </c>
    </row>
    <row r="75" customFormat="false" ht="15" hidden="false" customHeight="false" outlineLevel="0" collapsed="false">
      <c r="A75" s="19" t="str">
        <f aca="false">'Client-Product Master'!B12</f>
        <v>NTPC solapur</v>
      </c>
      <c r="B75" s="19" t="str">
        <f aca="false">'Client-Product Master'!C12</f>
        <v>Rail Static Weighing System</v>
      </c>
      <c r="C75" s="20" t="n">
        <f aca="false">'Client-Product Master'!E12</f>
        <v>0</v>
      </c>
      <c r="D75" s="8" t="n">
        <v>4</v>
      </c>
      <c r="E75" s="21" t="n">
        <f aca="false">INDEX('AMC &amp; Spares % Assumptions'!$B$5:$B$11, D75)</f>
        <v>0.055</v>
      </c>
      <c r="F75" s="22" t="n">
        <f aca="false">C75*E75</f>
        <v>0</v>
      </c>
      <c r="G75" s="21" t="n">
        <f aca="false">INDEX('AMC &amp; Spares % Assumptions'!$C$5:$C$11, D75)</f>
        <v>0.06</v>
      </c>
      <c r="H75" s="22" t="n">
        <f aca="false">C75*G75</f>
        <v>0</v>
      </c>
      <c r="I75" s="23" t="n">
        <f aca="false">F75+H75</f>
        <v>0</v>
      </c>
    </row>
    <row r="76" customFormat="false" ht="15" hidden="false" customHeight="false" outlineLevel="0" collapsed="false">
      <c r="A76" s="19" t="str">
        <f aca="false">'Client-Product Master'!B12</f>
        <v>NTPC solapur</v>
      </c>
      <c r="B76" s="19" t="str">
        <f aca="false">'Client-Product Master'!C12</f>
        <v>Rail Static Weighing System</v>
      </c>
      <c r="C76" s="20" t="n">
        <f aca="false">'Client-Product Master'!E12</f>
        <v>0</v>
      </c>
      <c r="D76" s="8" t="n">
        <v>5</v>
      </c>
      <c r="E76" s="21" t="n">
        <f aca="false">INDEX('AMC &amp; Spares % Assumptions'!$B$5:$B$11, D76)</f>
        <v>0.06</v>
      </c>
      <c r="F76" s="22" t="n">
        <f aca="false">C76*E76</f>
        <v>0</v>
      </c>
      <c r="G76" s="21" t="n">
        <f aca="false">INDEX('AMC &amp; Spares % Assumptions'!$C$5:$C$11, D76)</f>
        <v>0.075</v>
      </c>
      <c r="H76" s="22" t="n">
        <f aca="false">C76*G76</f>
        <v>0</v>
      </c>
      <c r="I76" s="23" t="n">
        <f aca="false">F76+H76</f>
        <v>0</v>
      </c>
    </row>
    <row r="77" customFormat="false" ht="15" hidden="false" customHeight="false" outlineLevel="0" collapsed="false">
      <c r="A77" s="19" t="str">
        <f aca="false">'Client-Product Master'!B12</f>
        <v>NTPC solapur</v>
      </c>
      <c r="B77" s="19" t="str">
        <f aca="false">'Client-Product Master'!C12</f>
        <v>Rail Static Weighing System</v>
      </c>
      <c r="C77" s="20" t="n">
        <f aca="false">'Client-Product Master'!E12</f>
        <v>0</v>
      </c>
      <c r="D77" s="8" t="n">
        <v>6</v>
      </c>
      <c r="E77" s="21" t="n">
        <f aca="false">INDEX('AMC &amp; Spares % Assumptions'!$B$5:$B$11, D77)</f>
        <v>0.065</v>
      </c>
      <c r="F77" s="22" t="n">
        <f aca="false">C77*E77</f>
        <v>0</v>
      </c>
      <c r="G77" s="21" t="n">
        <f aca="false">INDEX('AMC &amp; Spares % Assumptions'!$C$5:$C$11, D77)</f>
        <v>0.085</v>
      </c>
      <c r="H77" s="22" t="n">
        <f aca="false">C77*G77</f>
        <v>0</v>
      </c>
      <c r="I77" s="23" t="n">
        <f aca="false">F77+H77</f>
        <v>0</v>
      </c>
    </row>
    <row r="78" customFormat="false" ht="15" hidden="false" customHeight="false" outlineLevel="0" collapsed="false">
      <c r="A78" s="19" t="str">
        <f aca="false">'Client-Product Master'!B12</f>
        <v>NTPC solapur</v>
      </c>
      <c r="B78" s="19" t="str">
        <f aca="false">'Client-Product Master'!C12</f>
        <v>Rail Static Weighing System</v>
      </c>
      <c r="C78" s="20" t="n">
        <f aca="false">'Client-Product Master'!E12</f>
        <v>0</v>
      </c>
      <c r="D78" s="8" t="n">
        <v>7</v>
      </c>
      <c r="E78" s="21" t="n">
        <f aca="false">INDEX('AMC &amp; Spares % Assumptions'!$B$5:$B$11, D78)</f>
        <v>0.07</v>
      </c>
      <c r="F78" s="22" t="n">
        <f aca="false">C78*E78</f>
        <v>0</v>
      </c>
      <c r="G78" s="21" t="n">
        <f aca="false">INDEX('AMC &amp; Spares % Assumptions'!$C$5:$C$11, D78)</f>
        <v>0.095</v>
      </c>
      <c r="H78" s="22" t="n">
        <f aca="false">C78*G78</f>
        <v>0</v>
      </c>
      <c r="I78" s="23" t="n">
        <f aca="false">F78+H78</f>
        <v>0</v>
      </c>
    </row>
    <row r="79" customFormat="false" ht="15" hidden="false" customHeight="false" outlineLevel="0" collapsed="false">
      <c r="A79" s="19" t="str">
        <f aca="false">'Client-Product Master'!B13</f>
        <v>BAJAJ MUKAND LTD</v>
      </c>
      <c r="B79" s="19" t="str">
        <f aca="false">'Client-Product Master'!C13</f>
        <v>BILLET WEIGHING SYSTEM 3 TON</v>
      </c>
      <c r="C79" s="20" t="n">
        <f aca="false">'Client-Product Master'!E13</f>
        <v>0</v>
      </c>
      <c r="D79" s="8" t="n">
        <v>1</v>
      </c>
      <c r="E79" s="21" t="n">
        <f aca="false">INDEX('AMC &amp; Spares % Assumptions'!$B$5:$B$11, D79)</f>
        <v>0.015</v>
      </c>
      <c r="F79" s="22" t="n">
        <f aca="false">C79*E79</f>
        <v>0</v>
      </c>
      <c r="G79" s="21" t="n">
        <f aca="false">INDEX('AMC &amp; Spares % Assumptions'!$C$5:$C$11, D79)</f>
        <v>0.01</v>
      </c>
      <c r="H79" s="22" t="n">
        <f aca="false">C79*G79</f>
        <v>0</v>
      </c>
      <c r="I79" s="23" t="n">
        <f aca="false">F79+H79</f>
        <v>0</v>
      </c>
    </row>
    <row r="80" customFormat="false" ht="15" hidden="false" customHeight="false" outlineLevel="0" collapsed="false">
      <c r="A80" s="19" t="str">
        <f aca="false">'Client-Product Master'!B13</f>
        <v>BAJAJ MUKAND LTD</v>
      </c>
      <c r="B80" s="19" t="str">
        <f aca="false">'Client-Product Master'!C13</f>
        <v>BILLET WEIGHING SYSTEM 3 TON</v>
      </c>
      <c r="C80" s="20" t="n">
        <f aca="false">'Client-Product Master'!E13</f>
        <v>0</v>
      </c>
      <c r="D80" s="8" t="n">
        <v>2</v>
      </c>
      <c r="E80" s="21" t="n">
        <f aca="false">INDEX('AMC &amp; Spares % Assumptions'!$B$5:$B$11, D80)</f>
        <v>0.03</v>
      </c>
      <c r="F80" s="22" t="n">
        <f aca="false">C80*E80</f>
        <v>0</v>
      </c>
      <c r="G80" s="21" t="n">
        <f aca="false">INDEX('AMC &amp; Spares % Assumptions'!$C$5:$C$11, D80)</f>
        <v>0.025</v>
      </c>
      <c r="H80" s="22" t="n">
        <f aca="false">C80*G80</f>
        <v>0</v>
      </c>
      <c r="I80" s="23" t="n">
        <f aca="false">F80+H80</f>
        <v>0</v>
      </c>
    </row>
    <row r="81" customFormat="false" ht="15" hidden="false" customHeight="false" outlineLevel="0" collapsed="false">
      <c r="A81" s="19" t="str">
        <f aca="false">'Client-Product Master'!B13</f>
        <v>BAJAJ MUKAND LTD</v>
      </c>
      <c r="B81" s="19" t="str">
        <f aca="false">'Client-Product Master'!C13</f>
        <v>BILLET WEIGHING SYSTEM 3 TON</v>
      </c>
      <c r="C81" s="20" t="n">
        <f aca="false">'Client-Product Master'!E13</f>
        <v>0</v>
      </c>
      <c r="D81" s="8" t="n">
        <v>3</v>
      </c>
      <c r="E81" s="21" t="n">
        <f aca="false">INDEX('AMC &amp; Spares % Assumptions'!$B$5:$B$11, D81)</f>
        <v>0.045</v>
      </c>
      <c r="F81" s="22" t="n">
        <f aca="false">C81*E81</f>
        <v>0</v>
      </c>
      <c r="G81" s="21" t="n">
        <f aca="false">INDEX('AMC &amp; Spares % Assumptions'!$C$5:$C$11, D81)</f>
        <v>0.045</v>
      </c>
      <c r="H81" s="22" t="n">
        <f aca="false">C81*G81</f>
        <v>0</v>
      </c>
      <c r="I81" s="23" t="n">
        <f aca="false">F81+H81</f>
        <v>0</v>
      </c>
    </row>
    <row r="82" customFormat="false" ht="15" hidden="false" customHeight="false" outlineLevel="0" collapsed="false">
      <c r="A82" s="19" t="str">
        <f aca="false">'Client-Product Master'!B13</f>
        <v>BAJAJ MUKAND LTD</v>
      </c>
      <c r="B82" s="19" t="str">
        <f aca="false">'Client-Product Master'!C13</f>
        <v>BILLET WEIGHING SYSTEM 3 TON</v>
      </c>
      <c r="C82" s="20" t="n">
        <f aca="false">'Client-Product Master'!E13</f>
        <v>0</v>
      </c>
      <c r="D82" s="8" t="n">
        <v>4</v>
      </c>
      <c r="E82" s="21" t="n">
        <f aca="false">INDEX('AMC &amp; Spares % Assumptions'!$B$5:$B$11, D82)</f>
        <v>0.055</v>
      </c>
      <c r="F82" s="22" t="n">
        <f aca="false">C82*E82</f>
        <v>0</v>
      </c>
      <c r="G82" s="21" t="n">
        <f aca="false">INDEX('AMC &amp; Spares % Assumptions'!$C$5:$C$11, D82)</f>
        <v>0.06</v>
      </c>
      <c r="H82" s="22" t="n">
        <f aca="false">C82*G82</f>
        <v>0</v>
      </c>
      <c r="I82" s="23" t="n">
        <f aca="false">F82+H82</f>
        <v>0</v>
      </c>
    </row>
    <row r="83" customFormat="false" ht="15" hidden="false" customHeight="false" outlineLevel="0" collapsed="false">
      <c r="A83" s="19" t="str">
        <f aca="false">'Client-Product Master'!B13</f>
        <v>BAJAJ MUKAND LTD</v>
      </c>
      <c r="B83" s="19" t="str">
        <f aca="false">'Client-Product Master'!C13</f>
        <v>BILLET WEIGHING SYSTEM 3 TON</v>
      </c>
      <c r="C83" s="20" t="n">
        <f aca="false">'Client-Product Master'!E13</f>
        <v>0</v>
      </c>
      <c r="D83" s="8" t="n">
        <v>5</v>
      </c>
      <c r="E83" s="21" t="n">
        <f aca="false">INDEX('AMC &amp; Spares % Assumptions'!$B$5:$B$11, D83)</f>
        <v>0.06</v>
      </c>
      <c r="F83" s="22" t="n">
        <f aca="false">C83*E83</f>
        <v>0</v>
      </c>
      <c r="G83" s="21" t="n">
        <f aca="false">INDEX('AMC &amp; Spares % Assumptions'!$C$5:$C$11, D83)</f>
        <v>0.075</v>
      </c>
      <c r="H83" s="22" t="n">
        <f aca="false">C83*G83</f>
        <v>0</v>
      </c>
      <c r="I83" s="23" t="n">
        <f aca="false">F83+H83</f>
        <v>0</v>
      </c>
    </row>
    <row r="84" customFormat="false" ht="15" hidden="false" customHeight="false" outlineLevel="0" collapsed="false">
      <c r="A84" s="19" t="str">
        <f aca="false">'Client-Product Master'!B13</f>
        <v>BAJAJ MUKAND LTD</v>
      </c>
      <c r="B84" s="19" t="str">
        <f aca="false">'Client-Product Master'!C13</f>
        <v>BILLET WEIGHING SYSTEM 3 TON</v>
      </c>
      <c r="C84" s="20" t="n">
        <f aca="false">'Client-Product Master'!E13</f>
        <v>0</v>
      </c>
      <c r="D84" s="8" t="n">
        <v>6</v>
      </c>
      <c r="E84" s="21" t="n">
        <f aca="false">INDEX('AMC &amp; Spares % Assumptions'!$B$5:$B$11, D84)</f>
        <v>0.065</v>
      </c>
      <c r="F84" s="22" t="n">
        <f aca="false">C84*E84</f>
        <v>0</v>
      </c>
      <c r="G84" s="21" t="n">
        <f aca="false">INDEX('AMC &amp; Spares % Assumptions'!$C$5:$C$11, D84)</f>
        <v>0.085</v>
      </c>
      <c r="H84" s="22" t="n">
        <f aca="false">C84*G84</f>
        <v>0</v>
      </c>
      <c r="I84" s="23" t="n">
        <f aca="false">F84+H84</f>
        <v>0</v>
      </c>
    </row>
    <row r="85" customFormat="false" ht="15" hidden="false" customHeight="false" outlineLevel="0" collapsed="false">
      <c r="A85" s="19" t="str">
        <f aca="false">'Client-Product Master'!B13</f>
        <v>BAJAJ MUKAND LTD</v>
      </c>
      <c r="B85" s="19" t="str">
        <f aca="false">'Client-Product Master'!C13</f>
        <v>BILLET WEIGHING SYSTEM 3 TON</v>
      </c>
      <c r="C85" s="20" t="n">
        <f aca="false">'Client-Product Master'!E13</f>
        <v>0</v>
      </c>
      <c r="D85" s="8" t="n">
        <v>7</v>
      </c>
      <c r="E85" s="21" t="n">
        <f aca="false">INDEX('AMC &amp; Spares % Assumptions'!$B$5:$B$11, D85)</f>
        <v>0.07</v>
      </c>
      <c r="F85" s="22" t="n">
        <f aca="false">C85*E85</f>
        <v>0</v>
      </c>
      <c r="G85" s="21" t="n">
        <f aca="false">INDEX('AMC &amp; Spares % Assumptions'!$C$5:$C$11, D85)</f>
        <v>0.095</v>
      </c>
      <c r="H85" s="22" t="n">
        <f aca="false">C85*G85</f>
        <v>0</v>
      </c>
      <c r="I85" s="23" t="n">
        <f aca="false">F85+H85</f>
        <v>0</v>
      </c>
    </row>
    <row r="86" customFormat="false" ht="15" hidden="false" customHeight="false" outlineLevel="0" collapsed="false">
      <c r="A86" s="19" t="str">
        <f aca="false">'Client-Product Master'!B14</f>
        <v>JSL</v>
      </c>
      <c r="B86" s="19" t="str">
        <f aca="false">'Client-Product Master'!C14</f>
        <v>BILLET WEIGHING SYSTEM 3 TON</v>
      </c>
      <c r="C86" s="20" t="n">
        <f aca="false">'Client-Product Master'!E14</f>
        <v>0</v>
      </c>
      <c r="D86" s="8" t="n">
        <v>1</v>
      </c>
      <c r="E86" s="21" t="n">
        <f aca="false">INDEX('AMC &amp; Spares % Assumptions'!$B$5:$B$11, D86)</f>
        <v>0.015</v>
      </c>
      <c r="F86" s="22" t="n">
        <f aca="false">C86*E86</f>
        <v>0</v>
      </c>
      <c r="G86" s="21" t="n">
        <f aca="false">INDEX('AMC &amp; Spares % Assumptions'!$C$5:$C$11, D86)</f>
        <v>0.01</v>
      </c>
      <c r="H86" s="22" t="n">
        <f aca="false">C86*G86</f>
        <v>0</v>
      </c>
      <c r="I86" s="23" t="n">
        <f aca="false">F86+H86</f>
        <v>0</v>
      </c>
    </row>
    <row r="87" customFormat="false" ht="15" hidden="false" customHeight="false" outlineLevel="0" collapsed="false">
      <c r="A87" s="19" t="str">
        <f aca="false">'Client-Product Master'!B14</f>
        <v>JSL</v>
      </c>
      <c r="B87" s="19" t="str">
        <f aca="false">'Client-Product Master'!C14</f>
        <v>BILLET WEIGHING SYSTEM 3 TON</v>
      </c>
      <c r="C87" s="20" t="n">
        <f aca="false">'Client-Product Master'!E14</f>
        <v>0</v>
      </c>
      <c r="D87" s="8" t="n">
        <v>2</v>
      </c>
      <c r="E87" s="21" t="n">
        <f aca="false">INDEX('AMC &amp; Spares % Assumptions'!$B$5:$B$11, D87)</f>
        <v>0.03</v>
      </c>
      <c r="F87" s="22" t="n">
        <f aca="false">C87*E87</f>
        <v>0</v>
      </c>
      <c r="G87" s="21" t="n">
        <f aca="false">INDEX('AMC &amp; Spares % Assumptions'!$C$5:$C$11, D87)</f>
        <v>0.025</v>
      </c>
      <c r="H87" s="22" t="n">
        <f aca="false">C87*G87</f>
        <v>0</v>
      </c>
      <c r="I87" s="23" t="n">
        <f aca="false">F87+H87</f>
        <v>0</v>
      </c>
    </row>
    <row r="88" customFormat="false" ht="15" hidden="false" customHeight="false" outlineLevel="0" collapsed="false">
      <c r="A88" s="19" t="str">
        <f aca="false">'Client-Product Master'!B14</f>
        <v>JSL</v>
      </c>
      <c r="B88" s="19" t="str">
        <f aca="false">'Client-Product Master'!C14</f>
        <v>BILLET WEIGHING SYSTEM 3 TON</v>
      </c>
      <c r="C88" s="20" t="n">
        <f aca="false">'Client-Product Master'!E14</f>
        <v>0</v>
      </c>
      <c r="D88" s="8" t="n">
        <v>3</v>
      </c>
      <c r="E88" s="21" t="n">
        <f aca="false">INDEX('AMC &amp; Spares % Assumptions'!$B$5:$B$11, D88)</f>
        <v>0.045</v>
      </c>
      <c r="F88" s="22" t="n">
        <f aca="false">C88*E88</f>
        <v>0</v>
      </c>
      <c r="G88" s="21" t="n">
        <f aca="false">INDEX('AMC &amp; Spares % Assumptions'!$C$5:$C$11, D88)</f>
        <v>0.045</v>
      </c>
      <c r="H88" s="22" t="n">
        <f aca="false">C88*G88</f>
        <v>0</v>
      </c>
      <c r="I88" s="23" t="n">
        <f aca="false">F88+H88</f>
        <v>0</v>
      </c>
    </row>
    <row r="89" customFormat="false" ht="15" hidden="false" customHeight="false" outlineLevel="0" collapsed="false">
      <c r="A89" s="19" t="str">
        <f aca="false">'Client-Product Master'!B14</f>
        <v>JSL</v>
      </c>
      <c r="B89" s="19" t="str">
        <f aca="false">'Client-Product Master'!C14</f>
        <v>BILLET WEIGHING SYSTEM 3 TON</v>
      </c>
      <c r="C89" s="20" t="n">
        <f aca="false">'Client-Product Master'!E14</f>
        <v>0</v>
      </c>
      <c r="D89" s="8" t="n">
        <v>4</v>
      </c>
      <c r="E89" s="21" t="n">
        <f aca="false">INDEX('AMC &amp; Spares % Assumptions'!$B$5:$B$11, D89)</f>
        <v>0.055</v>
      </c>
      <c r="F89" s="22" t="n">
        <f aca="false">C89*E89</f>
        <v>0</v>
      </c>
      <c r="G89" s="21" t="n">
        <f aca="false">INDEX('AMC &amp; Spares % Assumptions'!$C$5:$C$11, D89)</f>
        <v>0.06</v>
      </c>
      <c r="H89" s="22" t="n">
        <f aca="false">C89*G89</f>
        <v>0</v>
      </c>
      <c r="I89" s="23" t="n">
        <f aca="false">F89+H89</f>
        <v>0</v>
      </c>
    </row>
    <row r="90" customFormat="false" ht="15" hidden="false" customHeight="false" outlineLevel="0" collapsed="false">
      <c r="A90" s="19" t="str">
        <f aca="false">'Client-Product Master'!B14</f>
        <v>JSL</v>
      </c>
      <c r="B90" s="19" t="str">
        <f aca="false">'Client-Product Master'!C14</f>
        <v>BILLET WEIGHING SYSTEM 3 TON</v>
      </c>
      <c r="C90" s="20" t="n">
        <f aca="false">'Client-Product Master'!E14</f>
        <v>0</v>
      </c>
      <c r="D90" s="8" t="n">
        <v>5</v>
      </c>
      <c r="E90" s="21" t="n">
        <f aca="false">INDEX('AMC &amp; Spares % Assumptions'!$B$5:$B$11, D90)</f>
        <v>0.06</v>
      </c>
      <c r="F90" s="22" t="n">
        <f aca="false">C90*E90</f>
        <v>0</v>
      </c>
      <c r="G90" s="21" t="n">
        <f aca="false">INDEX('AMC &amp; Spares % Assumptions'!$C$5:$C$11, D90)</f>
        <v>0.075</v>
      </c>
      <c r="H90" s="22" t="n">
        <f aca="false">C90*G90</f>
        <v>0</v>
      </c>
      <c r="I90" s="23" t="n">
        <f aca="false">F90+H90</f>
        <v>0</v>
      </c>
    </row>
    <row r="91" customFormat="false" ht="15" hidden="false" customHeight="false" outlineLevel="0" collapsed="false">
      <c r="A91" s="19" t="str">
        <f aca="false">'Client-Product Master'!B14</f>
        <v>JSL</v>
      </c>
      <c r="B91" s="19" t="str">
        <f aca="false">'Client-Product Master'!C14</f>
        <v>BILLET WEIGHING SYSTEM 3 TON</v>
      </c>
      <c r="C91" s="20" t="n">
        <f aca="false">'Client-Product Master'!E14</f>
        <v>0</v>
      </c>
      <c r="D91" s="8" t="n">
        <v>6</v>
      </c>
      <c r="E91" s="21" t="n">
        <f aca="false">INDEX('AMC &amp; Spares % Assumptions'!$B$5:$B$11, D91)</f>
        <v>0.065</v>
      </c>
      <c r="F91" s="22" t="n">
        <f aca="false">C91*E91</f>
        <v>0</v>
      </c>
      <c r="G91" s="21" t="n">
        <f aca="false">INDEX('AMC &amp; Spares % Assumptions'!$C$5:$C$11, D91)</f>
        <v>0.085</v>
      </c>
      <c r="H91" s="22" t="n">
        <f aca="false">C91*G91</f>
        <v>0</v>
      </c>
      <c r="I91" s="23" t="n">
        <f aca="false">F91+H91</f>
        <v>0</v>
      </c>
    </row>
    <row r="92" customFormat="false" ht="15" hidden="false" customHeight="false" outlineLevel="0" collapsed="false">
      <c r="A92" s="19" t="str">
        <f aca="false">'Client-Product Master'!B14</f>
        <v>JSL</v>
      </c>
      <c r="B92" s="19" t="str">
        <f aca="false">'Client-Product Master'!C14</f>
        <v>BILLET WEIGHING SYSTEM 3 TON</v>
      </c>
      <c r="C92" s="20" t="n">
        <f aca="false">'Client-Product Master'!E14</f>
        <v>0</v>
      </c>
      <c r="D92" s="8" t="n">
        <v>7</v>
      </c>
      <c r="E92" s="21" t="n">
        <f aca="false">INDEX('AMC &amp; Spares % Assumptions'!$B$5:$B$11, D92)</f>
        <v>0.07</v>
      </c>
      <c r="F92" s="22" t="n">
        <f aca="false">C92*E92</f>
        <v>0</v>
      </c>
      <c r="G92" s="21" t="n">
        <f aca="false">INDEX('AMC &amp; Spares % Assumptions'!$C$5:$C$11, D92)</f>
        <v>0.095</v>
      </c>
      <c r="H92" s="22" t="n">
        <f aca="false">C92*G92</f>
        <v>0</v>
      </c>
      <c r="I92" s="23" t="n">
        <f aca="false">F92+H92</f>
        <v>0</v>
      </c>
    </row>
    <row r="93" customFormat="false" ht="15" hidden="false" customHeight="false" outlineLevel="0" collapsed="false">
      <c r="A93" s="19" t="str">
        <f aca="false">'Client-Product Master'!B15</f>
        <v>Ultratech Maihar</v>
      </c>
      <c r="B93" s="19" t="str">
        <f aca="false">'Client-Product Master'!C15</f>
        <v>Road Weigh Bridge</v>
      </c>
      <c r="C93" s="20" t="n">
        <f aca="false">'Client-Product Master'!E15</f>
        <v>0</v>
      </c>
      <c r="D93" s="8" t="n">
        <v>1</v>
      </c>
      <c r="E93" s="21" t="n">
        <f aca="false">INDEX('AMC &amp; Spares % Assumptions'!$B$5:$B$11, D93)</f>
        <v>0.015</v>
      </c>
      <c r="F93" s="22" t="n">
        <f aca="false">C93*E93</f>
        <v>0</v>
      </c>
      <c r="G93" s="21" t="n">
        <f aca="false">INDEX('AMC &amp; Spares % Assumptions'!$C$5:$C$11, D93)</f>
        <v>0.01</v>
      </c>
      <c r="H93" s="22" t="n">
        <f aca="false">C93*G93</f>
        <v>0</v>
      </c>
      <c r="I93" s="23" t="n">
        <f aca="false">F93+H93</f>
        <v>0</v>
      </c>
    </row>
    <row r="94" customFormat="false" ht="15" hidden="false" customHeight="false" outlineLevel="0" collapsed="false">
      <c r="A94" s="19" t="str">
        <f aca="false">'Client-Product Master'!B15</f>
        <v>Ultratech Maihar</v>
      </c>
      <c r="B94" s="19" t="str">
        <f aca="false">'Client-Product Master'!C15</f>
        <v>Road Weigh Bridge</v>
      </c>
      <c r="C94" s="20" t="n">
        <f aca="false">'Client-Product Master'!E15</f>
        <v>0</v>
      </c>
      <c r="D94" s="8" t="n">
        <v>2</v>
      </c>
      <c r="E94" s="21" t="n">
        <f aca="false">INDEX('AMC &amp; Spares % Assumptions'!$B$5:$B$11, D94)</f>
        <v>0.03</v>
      </c>
      <c r="F94" s="22" t="n">
        <f aca="false">C94*E94</f>
        <v>0</v>
      </c>
      <c r="G94" s="21" t="n">
        <f aca="false">INDEX('AMC &amp; Spares % Assumptions'!$C$5:$C$11, D94)</f>
        <v>0.025</v>
      </c>
      <c r="H94" s="22" t="n">
        <f aca="false">C94*G94</f>
        <v>0</v>
      </c>
      <c r="I94" s="23" t="n">
        <f aca="false">F94+H94</f>
        <v>0</v>
      </c>
    </row>
    <row r="95" customFormat="false" ht="15" hidden="false" customHeight="false" outlineLevel="0" collapsed="false">
      <c r="A95" s="19" t="str">
        <f aca="false">'Client-Product Master'!B15</f>
        <v>Ultratech Maihar</v>
      </c>
      <c r="B95" s="19" t="str">
        <f aca="false">'Client-Product Master'!C15</f>
        <v>Road Weigh Bridge</v>
      </c>
      <c r="C95" s="20" t="n">
        <f aca="false">'Client-Product Master'!E15</f>
        <v>0</v>
      </c>
      <c r="D95" s="8" t="n">
        <v>3</v>
      </c>
      <c r="E95" s="21" t="n">
        <f aca="false">INDEX('AMC &amp; Spares % Assumptions'!$B$5:$B$11, D95)</f>
        <v>0.045</v>
      </c>
      <c r="F95" s="22" t="n">
        <f aca="false">C95*E95</f>
        <v>0</v>
      </c>
      <c r="G95" s="21" t="n">
        <f aca="false">INDEX('AMC &amp; Spares % Assumptions'!$C$5:$C$11, D95)</f>
        <v>0.045</v>
      </c>
      <c r="H95" s="22" t="n">
        <f aca="false">C95*G95</f>
        <v>0</v>
      </c>
      <c r="I95" s="23" t="n">
        <f aca="false">F95+H95</f>
        <v>0</v>
      </c>
    </row>
    <row r="96" customFormat="false" ht="15" hidden="false" customHeight="false" outlineLevel="0" collapsed="false">
      <c r="A96" s="19" t="str">
        <f aca="false">'Client-Product Master'!B15</f>
        <v>Ultratech Maihar</v>
      </c>
      <c r="B96" s="19" t="str">
        <f aca="false">'Client-Product Master'!C15</f>
        <v>Road Weigh Bridge</v>
      </c>
      <c r="C96" s="20" t="n">
        <f aca="false">'Client-Product Master'!E15</f>
        <v>0</v>
      </c>
      <c r="D96" s="8" t="n">
        <v>4</v>
      </c>
      <c r="E96" s="21" t="n">
        <f aca="false">INDEX('AMC &amp; Spares % Assumptions'!$B$5:$B$11, D96)</f>
        <v>0.055</v>
      </c>
      <c r="F96" s="22" t="n">
        <f aca="false">C96*E96</f>
        <v>0</v>
      </c>
      <c r="G96" s="21" t="n">
        <f aca="false">INDEX('AMC &amp; Spares % Assumptions'!$C$5:$C$11, D96)</f>
        <v>0.06</v>
      </c>
      <c r="H96" s="22" t="n">
        <f aca="false">C96*G96</f>
        <v>0</v>
      </c>
      <c r="I96" s="23" t="n">
        <f aca="false">F96+H96</f>
        <v>0</v>
      </c>
    </row>
    <row r="97" customFormat="false" ht="15" hidden="false" customHeight="false" outlineLevel="0" collapsed="false">
      <c r="A97" s="19" t="str">
        <f aca="false">'Client-Product Master'!B15</f>
        <v>Ultratech Maihar</v>
      </c>
      <c r="B97" s="19" t="str">
        <f aca="false">'Client-Product Master'!C15</f>
        <v>Road Weigh Bridge</v>
      </c>
      <c r="C97" s="20" t="n">
        <f aca="false">'Client-Product Master'!E15</f>
        <v>0</v>
      </c>
      <c r="D97" s="8" t="n">
        <v>5</v>
      </c>
      <c r="E97" s="21" t="n">
        <f aca="false">INDEX('AMC &amp; Spares % Assumptions'!$B$5:$B$11, D97)</f>
        <v>0.06</v>
      </c>
      <c r="F97" s="22" t="n">
        <f aca="false">C97*E97</f>
        <v>0</v>
      </c>
      <c r="G97" s="21" t="n">
        <f aca="false">INDEX('AMC &amp; Spares % Assumptions'!$C$5:$C$11, D97)</f>
        <v>0.075</v>
      </c>
      <c r="H97" s="22" t="n">
        <f aca="false">C97*G97</f>
        <v>0</v>
      </c>
      <c r="I97" s="23" t="n">
        <f aca="false">F97+H97</f>
        <v>0</v>
      </c>
    </row>
    <row r="98" customFormat="false" ht="15" hidden="false" customHeight="false" outlineLevel="0" collapsed="false">
      <c r="A98" s="19" t="str">
        <f aca="false">'Client-Product Master'!B15</f>
        <v>Ultratech Maihar</v>
      </c>
      <c r="B98" s="19" t="str">
        <f aca="false">'Client-Product Master'!C15</f>
        <v>Road Weigh Bridge</v>
      </c>
      <c r="C98" s="20" t="n">
        <f aca="false">'Client-Product Master'!E15</f>
        <v>0</v>
      </c>
      <c r="D98" s="8" t="n">
        <v>6</v>
      </c>
      <c r="E98" s="21" t="n">
        <f aca="false">INDEX('AMC &amp; Spares % Assumptions'!$B$5:$B$11, D98)</f>
        <v>0.065</v>
      </c>
      <c r="F98" s="22" t="n">
        <f aca="false">C98*E98</f>
        <v>0</v>
      </c>
      <c r="G98" s="21" t="n">
        <f aca="false">INDEX('AMC &amp; Spares % Assumptions'!$C$5:$C$11, D98)</f>
        <v>0.085</v>
      </c>
      <c r="H98" s="22" t="n">
        <f aca="false">C98*G98</f>
        <v>0</v>
      </c>
      <c r="I98" s="23" t="n">
        <f aca="false">F98+H98</f>
        <v>0</v>
      </c>
    </row>
    <row r="99" customFormat="false" ht="15" hidden="false" customHeight="false" outlineLevel="0" collapsed="false">
      <c r="A99" s="19" t="str">
        <f aca="false">'Client-Product Master'!B15</f>
        <v>Ultratech Maihar</v>
      </c>
      <c r="B99" s="19" t="str">
        <f aca="false">'Client-Product Master'!C15</f>
        <v>Road Weigh Bridge</v>
      </c>
      <c r="C99" s="20" t="n">
        <f aca="false">'Client-Product Master'!E15</f>
        <v>0</v>
      </c>
      <c r="D99" s="8" t="n">
        <v>7</v>
      </c>
      <c r="E99" s="21" t="n">
        <f aca="false">INDEX('AMC &amp; Spares % Assumptions'!$B$5:$B$11, D99)</f>
        <v>0.07</v>
      </c>
      <c r="F99" s="22" t="n">
        <f aca="false">C99*E99</f>
        <v>0</v>
      </c>
      <c r="G99" s="21" t="n">
        <f aca="false">INDEX('AMC &amp; Spares % Assumptions'!$C$5:$C$11, D99)</f>
        <v>0.095</v>
      </c>
      <c r="H99" s="22" t="n">
        <f aca="false">C99*G99</f>
        <v>0</v>
      </c>
      <c r="I99" s="23" t="n">
        <f aca="false">F99+H99</f>
        <v>0</v>
      </c>
    </row>
    <row r="100" customFormat="false" ht="15" hidden="false" customHeight="false" outlineLevel="0" collapsed="false">
      <c r="A100" s="19" t="str">
        <f aca="false">'Client-Product Master'!B16</f>
        <v>Synergy Steel ltd</v>
      </c>
      <c r="B100" s="19" t="str">
        <f aca="false">'Client-Product Master'!C16</f>
        <v>LAdle Weighing system</v>
      </c>
      <c r="C100" s="20" t="n">
        <f aca="false">'Client-Product Master'!E16</f>
        <v>0</v>
      </c>
      <c r="D100" s="8" t="n">
        <v>1</v>
      </c>
      <c r="E100" s="21" t="n">
        <f aca="false">INDEX('AMC &amp; Spares % Assumptions'!$B$5:$B$11, D100)</f>
        <v>0.015</v>
      </c>
      <c r="F100" s="22" t="n">
        <f aca="false">C100*E100</f>
        <v>0</v>
      </c>
      <c r="G100" s="21" t="n">
        <f aca="false">INDEX('AMC &amp; Spares % Assumptions'!$C$5:$C$11, D100)</f>
        <v>0.01</v>
      </c>
      <c r="H100" s="22" t="n">
        <f aca="false">C100*G100</f>
        <v>0</v>
      </c>
      <c r="I100" s="23" t="n">
        <f aca="false">F100+H100</f>
        <v>0</v>
      </c>
    </row>
    <row r="101" customFormat="false" ht="15" hidden="false" customHeight="false" outlineLevel="0" collapsed="false">
      <c r="A101" s="19" t="str">
        <f aca="false">'Client-Product Master'!B16</f>
        <v>Synergy Steel ltd</v>
      </c>
      <c r="B101" s="19" t="str">
        <f aca="false">'Client-Product Master'!C16</f>
        <v>LAdle Weighing system</v>
      </c>
      <c r="C101" s="20" t="n">
        <f aca="false">'Client-Product Master'!E16</f>
        <v>0</v>
      </c>
      <c r="D101" s="8" t="n">
        <v>2</v>
      </c>
      <c r="E101" s="21" t="n">
        <f aca="false">INDEX('AMC &amp; Spares % Assumptions'!$B$5:$B$11, D101)</f>
        <v>0.03</v>
      </c>
      <c r="F101" s="22" t="n">
        <f aca="false">C101*E101</f>
        <v>0</v>
      </c>
      <c r="G101" s="21" t="n">
        <f aca="false">INDEX('AMC &amp; Spares % Assumptions'!$C$5:$C$11, D101)</f>
        <v>0.025</v>
      </c>
      <c r="H101" s="22" t="n">
        <f aca="false">C101*G101</f>
        <v>0</v>
      </c>
      <c r="I101" s="23" t="n">
        <f aca="false">F101+H101</f>
        <v>0</v>
      </c>
    </row>
    <row r="102" customFormat="false" ht="15" hidden="false" customHeight="false" outlineLevel="0" collapsed="false">
      <c r="A102" s="19" t="str">
        <f aca="false">'Client-Product Master'!B16</f>
        <v>Synergy Steel ltd</v>
      </c>
      <c r="B102" s="19" t="str">
        <f aca="false">'Client-Product Master'!C16</f>
        <v>LAdle Weighing system</v>
      </c>
      <c r="C102" s="20" t="n">
        <f aca="false">'Client-Product Master'!E16</f>
        <v>0</v>
      </c>
      <c r="D102" s="8" t="n">
        <v>3</v>
      </c>
      <c r="E102" s="21" t="n">
        <f aca="false">INDEX('AMC &amp; Spares % Assumptions'!$B$5:$B$11, D102)</f>
        <v>0.045</v>
      </c>
      <c r="F102" s="22" t="n">
        <f aca="false">C102*E102</f>
        <v>0</v>
      </c>
      <c r="G102" s="21" t="n">
        <f aca="false">INDEX('AMC &amp; Spares % Assumptions'!$C$5:$C$11, D102)</f>
        <v>0.045</v>
      </c>
      <c r="H102" s="22" t="n">
        <f aca="false">C102*G102</f>
        <v>0</v>
      </c>
      <c r="I102" s="23" t="n">
        <f aca="false">F102+H102</f>
        <v>0</v>
      </c>
    </row>
    <row r="103" customFormat="false" ht="15" hidden="false" customHeight="false" outlineLevel="0" collapsed="false">
      <c r="A103" s="19" t="str">
        <f aca="false">'Client-Product Master'!B16</f>
        <v>Synergy Steel ltd</v>
      </c>
      <c r="B103" s="19" t="str">
        <f aca="false">'Client-Product Master'!C16</f>
        <v>LAdle Weighing system</v>
      </c>
      <c r="C103" s="20" t="n">
        <f aca="false">'Client-Product Master'!E16</f>
        <v>0</v>
      </c>
      <c r="D103" s="8" t="n">
        <v>4</v>
      </c>
      <c r="E103" s="21" t="n">
        <f aca="false">INDEX('AMC &amp; Spares % Assumptions'!$B$5:$B$11, D103)</f>
        <v>0.055</v>
      </c>
      <c r="F103" s="22" t="n">
        <f aca="false">C103*E103</f>
        <v>0</v>
      </c>
      <c r="G103" s="21" t="n">
        <f aca="false">INDEX('AMC &amp; Spares % Assumptions'!$C$5:$C$11, D103)</f>
        <v>0.06</v>
      </c>
      <c r="H103" s="22" t="n">
        <f aca="false">C103*G103</f>
        <v>0</v>
      </c>
      <c r="I103" s="23" t="n">
        <f aca="false">F103+H103</f>
        <v>0</v>
      </c>
    </row>
    <row r="104" customFormat="false" ht="15" hidden="false" customHeight="false" outlineLevel="0" collapsed="false">
      <c r="A104" s="19" t="str">
        <f aca="false">'Client-Product Master'!B16</f>
        <v>Synergy Steel ltd</v>
      </c>
      <c r="B104" s="19" t="str">
        <f aca="false">'Client-Product Master'!C16</f>
        <v>LAdle Weighing system</v>
      </c>
      <c r="C104" s="20" t="n">
        <f aca="false">'Client-Product Master'!E16</f>
        <v>0</v>
      </c>
      <c r="D104" s="8" t="n">
        <v>5</v>
      </c>
      <c r="E104" s="21" t="n">
        <f aca="false">INDEX('AMC &amp; Spares % Assumptions'!$B$5:$B$11, D104)</f>
        <v>0.06</v>
      </c>
      <c r="F104" s="22" t="n">
        <f aca="false">C104*E104</f>
        <v>0</v>
      </c>
      <c r="G104" s="21" t="n">
        <f aca="false">INDEX('AMC &amp; Spares % Assumptions'!$C$5:$C$11, D104)</f>
        <v>0.075</v>
      </c>
      <c r="H104" s="22" t="n">
        <f aca="false">C104*G104</f>
        <v>0</v>
      </c>
      <c r="I104" s="23" t="n">
        <f aca="false">F104+H104</f>
        <v>0</v>
      </c>
    </row>
    <row r="105" customFormat="false" ht="15" hidden="false" customHeight="false" outlineLevel="0" collapsed="false">
      <c r="A105" s="19" t="str">
        <f aca="false">'Client-Product Master'!B16</f>
        <v>Synergy Steel ltd</v>
      </c>
      <c r="B105" s="19" t="str">
        <f aca="false">'Client-Product Master'!C16</f>
        <v>LAdle Weighing system</v>
      </c>
      <c r="C105" s="20" t="n">
        <f aca="false">'Client-Product Master'!E16</f>
        <v>0</v>
      </c>
      <c r="D105" s="8" t="n">
        <v>6</v>
      </c>
      <c r="E105" s="21" t="n">
        <f aca="false">INDEX('AMC &amp; Spares % Assumptions'!$B$5:$B$11, D105)</f>
        <v>0.065</v>
      </c>
      <c r="F105" s="22" t="n">
        <f aca="false">C105*E105</f>
        <v>0</v>
      </c>
      <c r="G105" s="21" t="n">
        <f aca="false">INDEX('AMC &amp; Spares % Assumptions'!$C$5:$C$11, D105)</f>
        <v>0.085</v>
      </c>
      <c r="H105" s="22" t="n">
        <f aca="false">C105*G105</f>
        <v>0</v>
      </c>
      <c r="I105" s="23" t="n">
        <f aca="false">F105+H105</f>
        <v>0</v>
      </c>
    </row>
    <row r="106" customFormat="false" ht="15" hidden="false" customHeight="false" outlineLevel="0" collapsed="false">
      <c r="A106" s="19" t="str">
        <f aca="false">'Client-Product Master'!B16</f>
        <v>Synergy Steel ltd</v>
      </c>
      <c r="B106" s="19" t="str">
        <f aca="false">'Client-Product Master'!C16</f>
        <v>LAdle Weighing system</v>
      </c>
      <c r="C106" s="20" t="n">
        <f aca="false">'Client-Product Master'!E16</f>
        <v>0</v>
      </c>
      <c r="D106" s="8" t="n">
        <v>7</v>
      </c>
      <c r="E106" s="21" t="n">
        <f aca="false">INDEX('AMC &amp; Spares % Assumptions'!$B$5:$B$11, D106)</f>
        <v>0.07</v>
      </c>
      <c r="F106" s="22" t="n">
        <f aca="false">C106*E106</f>
        <v>0</v>
      </c>
      <c r="G106" s="21" t="n">
        <f aca="false">INDEX('AMC &amp; Spares % Assumptions'!$C$5:$C$11, D106)</f>
        <v>0.095</v>
      </c>
      <c r="H106" s="22" t="n">
        <f aca="false">C106*G106</f>
        <v>0</v>
      </c>
      <c r="I106" s="23" t="n">
        <f aca="false">F106+H106</f>
        <v>0</v>
      </c>
    </row>
    <row r="107" customFormat="false" ht="15" hidden="false" customHeight="false" outlineLevel="0" collapsed="false">
      <c r="A107" s="19" t="str">
        <f aca="false">'Client-Product Master'!B17</f>
        <v>JINDAL STAINLESS LIMITED</v>
      </c>
      <c r="B107" s="19" t="str">
        <f aca="false">'Client-Product Master'!C17</f>
        <v>Crane scale</v>
      </c>
      <c r="C107" s="20" t="n">
        <f aca="false">'Client-Product Master'!E17</f>
        <v>0</v>
      </c>
      <c r="D107" s="8" t="n">
        <v>1</v>
      </c>
      <c r="E107" s="21" t="n">
        <f aca="false">INDEX('AMC &amp; Spares % Assumptions'!$B$5:$B$11, D107)</f>
        <v>0.015</v>
      </c>
      <c r="F107" s="22" t="n">
        <f aca="false">C107*E107</f>
        <v>0</v>
      </c>
      <c r="G107" s="21" t="n">
        <f aca="false">INDEX('AMC &amp; Spares % Assumptions'!$C$5:$C$11, D107)</f>
        <v>0.01</v>
      </c>
      <c r="H107" s="22" t="n">
        <f aca="false">C107*G107</f>
        <v>0</v>
      </c>
      <c r="I107" s="23" t="n">
        <f aca="false">F107+H107</f>
        <v>0</v>
      </c>
    </row>
    <row r="108" customFormat="false" ht="15" hidden="false" customHeight="false" outlineLevel="0" collapsed="false">
      <c r="A108" s="19" t="str">
        <f aca="false">'Client-Product Master'!B17</f>
        <v>JINDAL STAINLESS LIMITED</v>
      </c>
      <c r="B108" s="19" t="str">
        <f aca="false">'Client-Product Master'!C17</f>
        <v>Crane scale</v>
      </c>
      <c r="C108" s="20" t="n">
        <f aca="false">'Client-Product Master'!E17</f>
        <v>0</v>
      </c>
      <c r="D108" s="8" t="n">
        <v>2</v>
      </c>
      <c r="E108" s="21" t="n">
        <f aca="false">INDEX('AMC &amp; Spares % Assumptions'!$B$5:$B$11, D108)</f>
        <v>0.03</v>
      </c>
      <c r="F108" s="22" t="n">
        <f aca="false">C108*E108</f>
        <v>0</v>
      </c>
      <c r="G108" s="21" t="n">
        <f aca="false">INDEX('AMC &amp; Spares % Assumptions'!$C$5:$C$11, D108)</f>
        <v>0.025</v>
      </c>
      <c r="H108" s="22" t="n">
        <f aca="false">C108*G108</f>
        <v>0</v>
      </c>
      <c r="I108" s="23" t="n">
        <f aca="false">F108+H108</f>
        <v>0</v>
      </c>
    </row>
    <row r="109" customFormat="false" ht="15" hidden="false" customHeight="false" outlineLevel="0" collapsed="false">
      <c r="A109" s="19" t="str">
        <f aca="false">'Client-Product Master'!B17</f>
        <v>JINDAL STAINLESS LIMITED</v>
      </c>
      <c r="B109" s="19" t="str">
        <f aca="false">'Client-Product Master'!C17</f>
        <v>Crane scale</v>
      </c>
      <c r="C109" s="20" t="n">
        <f aca="false">'Client-Product Master'!E17</f>
        <v>0</v>
      </c>
      <c r="D109" s="8" t="n">
        <v>3</v>
      </c>
      <c r="E109" s="21" t="n">
        <f aca="false">INDEX('AMC &amp; Spares % Assumptions'!$B$5:$B$11, D109)</f>
        <v>0.045</v>
      </c>
      <c r="F109" s="22" t="n">
        <f aca="false">C109*E109</f>
        <v>0</v>
      </c>
      <c r="G109" s="21" t="n">
        <f aca="false">INDEX('AMC &amp; Spares % Assumptions'!$C$5:$C$11, D109)</f>
        <v>0.045</v>
      </c>
      <c r="H109" s="22" t="n">
        <f aca="false">C109*G109</f>
        <v>0</v>
      </c>
      <c r="I109" s="23" t="n">
        <f aca="false">F109+H109</f>
        <v>0</v>
      </c>
    </row>
    <row r="110" customFormat="false" ht="15" hidden="false" customHeight="false" outlineLevel="0" collapsed="false">
      <c r="A110" s="19" t="str">
        <f aca="false">'Client-Product Master'!B17</f>
        <v>JINDAL STAINLESS LIMITED</v>
      </c>
      <c r="B110" s="19" t="str">
        <f aca="false">'Client-Product Master'!C17</f>
        <v>Crane scale</v>
      </c>
      <c r="C110" s="20" t="n">
        <f aca="false">'Client-Product Master'!E17</f>
        <v>0</v>
      </c>
      <c r="D110" s="8" t="n">
        <v>4</v>
      </c>
      <c r="E110" s="21" t="n">
        <f aca="false">INDEX('AMC &amp; Spares % Assumptions'!$B$5:$B$11, D110)</f>
        <v>0.055</v>
      </c>
      <c r="F110" s="22" t="n">
        <f aca="false">C110*E110</f>
        <v>0</v>
      </c>
      <c r="G110" s="21" t="n">
        <f aca="false">INDEX('AMC &amp; Spares % Assumptions'!$C$5:$C$11, D110)</f>
        <v>0.06</v>
      </c>
      <c r="H110" s="22" t="n">
        <f aca="false">C110*G110</f>
        <v>0</v>
      </c>
      <c r="I110" s="23" t="n">
        <f aca="false">F110+H110</f>
        <v>0</v>
      </c>
    </row>
    <row r="111" customFormat="false" ht="15" hidden="false" customHeight="false" outlineLevel="0" collapsed="false">
      <c r="A111" s="19" t="str">
        <f aca="false">'Client-Product Master'!B17</f>
        <v>JINDAL STAINLESS LIMITED</v>
      </c>
      <c r="B111" s="19" t="str">
        <f aca="false">'Client-Product Master'!C17</f>
        <v>Crane scale</v>
      </c>
      <c r="C111" s="20" t="n">
        <f aca="false">'Client-Product Master'!E17</f>
        <v>0</v>
      </c>
      <c r="D111" s="8" t="n">
        <v>5</v>
      </c>
      <c r="E111" s="21" t="n">
        <f aca="false">INDEX('AMC &amp; Spares % Assumptions'!$B$5:$B$11, D111)</f>
        <v>0.06</v>
      </c>
      <c r="F111" s="22" t="n">
        <f aca="false">C111*E111</f>
        <v>0</v>
      </c>
      <c r="G111" s="21" t="n">
        <f aca="false">INDEX('AMC &amp; Spares % Assumptions'!$C$5:$C$11, D111)</f>
        <v>0.075</v>
      </c>
      <c r="H111" s="22" t="n">
        <f aca="false">C111*G111</f>
        <v>0</v>
      </c>
      <c r="I111" s="23" t="n">
        <f aca="false">F111+H111</f>
        <v>0</v>
      </c>
    </row>
    <row r="112" customFormat="false" ht="15" hidden="false" customHeight="false" outlineLevel="0" collapsed="false">
      <c r="A112" s="19" t="str">
        <f aca="false">'Client-Product Master'!B17</f>
        <v>JINDAL STAINLESS LIMITED</v>
      </c>
      <c r="B112" s="19" t="str">
        <f aca="false">'Client-Product Master'!C17</f>
        <v>Crane scale</v>
      </c>
      <c r="C112" s="20" t="n">
        <f aca="false">'Client-Product Master'!E17</f>
        <v>0</v>
      </c>
      <c r="D112" s="8" t="n">
        <v>6</v>
      </c>
      <c r="E112" s="21" t="n">
        <f aca="false">INDEX('AMC &amp; Spares % Assumptions'!$B$5:$B$11, D112)</f>
        <v>0.065</v>
      </c>
      <c r="F112" s="22" t="n">
        <f aca="false">C112*E112</f>
        <v>0</v>
      </c>
      <c r="G112" s="21" t="n">
        <f aca="false">INDEX('AMC &amp; Spares % Assumptions'!$C$5:$C$11, D112)</f>
        <v>0.085</v>
      </c>
      <c r="H112" s="22" t="n">
        <f aca="false">C112*G112</f>
        <v>0</v>
      </c>
      <c r="I112" s="23" t="n">
        <f aca="false">F112+H112</f>
        <v>0</v>
      </c>
    </row>
    <row r="113" customFormat="false" ht="15" hidden="false" customHeight="false" outlineLevel="0" collapsed="false">
      <c r="A113" s="19" t="str">
        <f aca="false">'Client-Product Master'!B17</f>
        <v>JINDAL STAINLESS LIMITED</v>
      </c>
      <c r="B113" s="19" t="str">
        <f aca="false">'Client-Product Master'!C17</f>
        <v>Crane scale</v>
      </c>
      <c r="C113" s="20" t="n">
        <f aca="false">'Client-Product Master'!E17</f>
        <v>0</v>
      </c>
      <c r="D113" s="8" t="n">
        <v>7</v>
      </c>
      <c r="E113" s="21" t="n">
        <f aca="false">INDEX('AMC &amp; Spares % Assumptions'!$B$5:$B$11, D113)</f>
        <v>0.07</v>
      </c>
      <c r="F113" s="22" t="n">
        <f aca="false">C113*E113</f>
        <v>0</v>
      </c>
      <c r="G113" s="21" t="n">
        <f aca="false">INDEX('AMC &amp; Spares % Assumptions'!$C$5:$C$11, D113)</f>
        <v>0.095</v>
      </c>
      <c r="H113" s="22" t="n">
        <f aca="false">C113*G113</f>
        <v>0</v>
      </c>
      <c r="I113" s="23" t="n">
        <f aca="false">F113+H113</f>
        <v>0</v>
      </c>
    </row>
    <row r="114" customFormat="false" ht="15" hidden="false" customHeight="false" outlineLevel="0" collapsed="false">
      <c r="A114" s="19" t="str">
        <f aca="false">'Client-Product Master'!B18</f>
        <v>Yash Trading Co</v>
      </c>
      <c r="B114" s="19" t="str">
        <f aca="false">'Client-Product Master'!C18</f>
        <v>Wegan tipler</v>
      </c>
      <c r="C114" s="20" t="n">
        <f aca="false">'Client-Product Master'!E18</f>
        <v>0</v>
      </c>
      <c r="D114" s="8" t="n">
        <v>1</v>
      </c>
      <c r="E114" s="21" t="n">
        <f aca="false">INDEX('AMC &amp; Spares % Assumptions'!$B$5:$B$11, D114)</f>
        <v>0.015</v>
      </c>
      <c r="F114" s="22" t="n">
        <f aca="false">C114*E114</f>
        <v>0</v>
      </c>
      <c r="G114" s="21" t="n">
        <f aca="false">INDEX('AMC &amp; Spares % Assumptions'!$C$5:$C$11, D114)</f>
        <v>0.01</v>
      </c>
      <c r="H114" s="22" t="n">
        <f aca="false">C114*G114</f>
        <v>0</v>
      </c>
      <c r="I114" s="23" t="n">
        <f aca="false">F114+H114</f>
        <v>0</v>
      </c>
    </row>
    <row r="115" customFormat="false" ht="15" hidden="false" customHeight="false" outlineLevel="0" collapsed="false">
      <c r="A115" s="19" t="str">
        <f aca="false">'Client-Product Master'!B18</f>
        <v>Yash Trading Co</v>
      </c>
      <c r="B115" s="19" t="str">
        <f aca="false">'Client-Product Master'!C18</f>
        <v>Wegan tipler</v>
      </c>
      <c r="C115" s="20" t="n">
        <f aca="false">'Client-Product Master'!E18</f>
        <v>0</v>
      </c>
      <c r="D115" s="8" t="n">
        <v>2</v>
      </c>
      <c r="E115" s="21" t="n">
        <f aca="false">INDEX('AMC &amp; Spares % Assumptions'!$B$5:$B$11, D115)</f>
        <v>0.03</v>
      </c>
      <c r="F115" s="22" t="n">
        <f aca="false">C115*E115</f>
        <v>0</v>
      </c>
      <c r="G115" s="21" t="n">
        <f aca="false">INDEX('AMC &amp; Spares % Assumptions'!$C$5:$C$11, D115)</f>
        <v>0.025</v>
      </c>
      <c r="H115" s="22" t="n">
        <f aca="false">C115*G115</f>
        <v>0</v>
      </c>
      <c r="I115" s="23" t="n">
        <f aca="false">F115+H115</f>
        <v>0</v>
      </c>
    </row>
    <row r="116" customFormat="false" ht="15" hidden="false" customHeight="false" outlineLevel="0" collapsed="false">
      <c r="A116" s="19" t="str">
        <f aca="false">'Client-Product Master'!B18</f>
        <v>Yash Trading Co</v>
      </c>
      <c r="B116" s="19" t="str">
        <f aca="false">'Client-Product Master'!C18</f>
        <v>Wegan tipler</v>
      </c>
      <c r="C116" s="20" t="n">
        <f aca="false">'Client-Product Master'!E18</f>
        <v>0</v>
      </c>
      <c r="D116" s="8" t="n">
        <v>3</v>
      </c>
      <c r="E116" s="21" t="n">
        <f aca="false">INDEX('AMC &amp; Spares % Assumptions'!$B$5:$B$11, D116)</f>
        <v>0.045</v>
      </c>
      <c r="F116" s="22" t="n">
        <f aca="false">C116*E116</f>
        <v>0</v>
      </c>
      <c r="G116" s="21" t="n">
        <f aca="false">INDEX('AMC &amp; Spares % Assumptions'!$C$5:$C$11, D116)</f>
        <v>0.045</v>
      </c>
      <c r="H116" s="22" t="n">
        <f aca="false">C116*G116</f>
        <v>0</v>
      </c>
      <c r="I116" s="23" t="n">
        <f aca="false">F116+H116</f>
        <v>0</v>
      </c>
    </row>
    <row r="117" customFormat="false" ht="15" hidden="false" customHeight="false" outlineLevel="0" collapsed="false">
      <c r="A117" s="19" t="str">
        <f aca="false">'Client-Product Master'!B18</f>
        <v>Yash Trading Co</v>
      </c>
      <c r="B117" s="19" t="str">
        <f aca="false">'Client-Product Master'!C18</f>
        <v>Wegan tipler</v>
      </c>
      <c r="C117" s="20" t="n">
        <f aca="false">'Client-Product Master'!E18</f>
        <v>0</v>
      </c>
      <c r="D117" s="8" t="n">
        <v>4</v>
      </c>
      <c r="E117" s="21" t="n">
        <f aca="false">INDEX('AMC &amp; Spares % Assumptions'!$B$5:$B$11, D117)</f>
        <v>0.055</v>
      </c>
      <c r="F117" s="22" t="n">
        <f aca="false">C117*E117</f>
        <v>0</v>
      </c>
      <c r="G117" s="21" t="n">
        <f aca="false">INDEX('AMC &amp; Spares % Assumptions'!$C$5:$C$11, D117)</f>
        <v>0.06</v>
      </c>
      <c r="H117" s="22" t="n">
        <f aca="false">C117*G117</f>
        <v>0</v>
      </c>
      <c r="I117" s="23" t="n">
        <f aca="false">F117+H117</f>
        <v>0</v>
      </c>
    </row>
    <row r="118" customFormat="false" ht="15" hidden="false" customHeight="false" outlineLevel="0" collapsed="false">
      <c r="A118" s="19" t="str">
        <f aca="false">'Client-Product Master'!B18</f>
        <v>Yash Trading Co</v>
      </c>
      <c r="B118" s="19" t="str">
        <f aca="false">'Client-Product Master'!C18</f>
        <v>Wegan tipler</v>
      </c>
      <c r="C118" s="20" t="n">
        <f aca="false">'Client-Product Master'!E18</f>
        <v>0</v>
      </c>
      <c r="D118" s="8" t="n">
        <v>5</v>
      </c>
      <c r="E118" s="21" t="n">
        <f aca="false">INDEX('AMC &amp; Spares % Assumptions'!$B$5:$B$11, D118)</f>
        <v>0.06</v>
      </c>
      <c r="F118" s="22" t="n">
        <f aca="false">C118*E118</f>
        <v>0</v>
      </c>
      <c r="G118" s="21" t="n">
        <f aca="false">INDEX('AMC &amp; Spares % Assumptions'!$C$5:$C$11, D118)</f>
        <v>0.075</v>
      </c>
      <c r="H118" s="22" t="n">
        <f aca="false">C118*G118</f>
        <v>0</v>
      </c>
      <c r="I118" s="23" t="n">
        <f aca="false">F118+H118</f>
        <v>0</v>
      </c>
    </row>
    <row r="119" customFormat="false" ht="15" hidden="false" customHeight="false" outlineLevel="0" collapsed="false">
      <c r="A119" s="19" t="str">
        <f aca="false">'Client-Product Master'!B18</f>
        <v>Yash Trading Co</v>
      </c>
      <c r="B119" s="19" t="str">
        <f aca="false">'Client-Product Master'!C18</f>
        <v>Wegan tipler</v>
      </c>
      <c r="C119" s="20" t="n">
        <f aca="false">'Client-Product Master'!E18</f>
        <v>0</v>
      </c>
      <c r="D119" s="8" t="n">
        <v>6</v>
      </c>
      <c r="E119" s="21" t="n">
        <f aca="false">INDEX('AMC &amp; Spares % Assumptions'!$B$5:$B$11, D119)</f>
        <v>0.065</v>
      </c>
      <c r="F119" s="22" t="n">
        <f aca="false">C119*E119</f>
        <v>0</v>
      </c>
      <c r="G119" s="21" t="n">
        <f aca="false">INDEX('AMC &amp; Spares % Assumptions'!$C$5:$C$11, D119)</f>
        <v>0.085</v>
      </c>
      <c r="H119" s="22" t="n">
        <f aca="false">C119*G119</f>
        <v>0</v>
      </c>
      <c r="I119" s="23" t="n">
        <f aca="false">F119+H119</f>
        <v>0</v>
      </c>
    </row>
    <row r="120" customFormat="false" ht="15" hidden="false" customHeight="false" outlineLevel="0" collapsed="false">
      <c r="A120" s="19" t="str">
        <f aca="false">'Client-Product Master'!B18</f>
        <v>Yash Trading Co</v>
      </c>
      <c r="B120" s="19" t="str">
        <f aca="false">'Client-Product Master'!C18</f>
        <v>Wegan tipler</v>
      </c>
      <c r="C120" s="20" t="n">
        <f aca="false">'Client-Product Master'!E18</f>
        <v>0</v>
      </c>
      <c r="D120" s="8" t="n">
        <v>7</v>
      </c>
      <c r="E120" s="21" t="n">
        <f aca="false">INDEX('AMC &amp; Spares % Assumptions'!$B$5:$B$11, D120)</f>
        <v>0.07</v>
      </c>
      <c r="F120" s="22" t="n">
        <f aca="false">C120*E120</f>
        <v>0</v>
      </c>
      <c r="G120" s="21" t="n">
        <f aca="false">INDEX('AMC &amp; Spares % Assumptions'!$C$5:$C$11, D120)</f>
        <v>0.095</v>
      </c>
      <c r="H120" s="22" t="n">
        <f aca="false">C120*G120</f>
        <v>0</v>
      </c>
      <c r="I120" s="23" t="n">
        <f aca="false">F120+H120</f>
        <v>0</v>
      </c>
    </row>
    <row r="121" customFormat="false" ht="15" hidden="false" customHeight="false" outlineLevel="0" collapsed="false">
      <c r="A121" s="19" t="str">
        <f aca="false">'Client-Product Master'!B19</f>
        <v>Tata Steel Ltd</v>
      </c>
      <c r="B121" s="19" t="str">
        <f aca="false">'Client-Product Master'!C19</f>
        <v>BAR Scale</v>
      </c>
      <c r="C121" s="20" t="n">
        <f aca="false">'Client-Product Master'!E19</f>
        <v>0</v>
      </c>
      <c r="D121" s="8" t="n">
        <v>1</v>
      </c>
      <c r="E121" s="21" t="n">
        <f aca="false">INDEX('AMC &amp; Spares % Assumptions'!$B$5:$B$11, D121)</f>
        <v>0.015</v>
      </c>
      <c r="F121" s="22" t="n">
        <f aca="false">C121*E121</f>
        <v>0</v>
      </c>
      <c r="G121" s="21" t="n">
        <f aca="false">INDEX('AMC &amp; Spares % Assumptions'!$C$5:$C$11, D121)</f>
        <v>0.01</v>
      </c>
      <c r="H121" s="22" t="n">
        <f aca="false">C121*G121</f>
        <v>0</v>
      </c>
      <c r="I121" s="23" t="n">
        <f aca="false">F121+H121</f>
        <v>0</v>
      </c>
    </row>
    <row r="122" customFormat="false" ht="15" hidden="false" customHeight="false" outlineLevel="0" collapsed="false">
      <c r="A122" s="19" t="str">
        <f aca="false">'Client-Product Master'!B19</f>
        <v>Tata Steel Ltd</v>
      </c>
      <c r="B122" s="19" t="str">
        <f aca="false">'Client-Product Master'!C19</f>
        <v>BAR Scale</v>
      </c>
      <c r="C122" s="20" t="n">
        <f aca="false">'Client-Product Master'!E19</f>
        <v>0</v>
      </c>
      <c r="D122" s="8" t="n">
        <v>2</v>
      </c>
      <c r="E122" s="21" t="n">
        <f aca="false">INDEX('AMC &amp; Spares % Assumptions'!$B$5:$B$11, D122)</f>
        <v>0.03</v>
      </c>
      <c r="F122" s="22" t="n">
        <f aca="false">C122*E122</f>
        <v>0</v>
      </c>
      <c r="G122" s="21" t="n">
        <f aca="false">INDEX('AMC &amp; Spares % Assumptions'!$C$5:$C$11, D122)</f>
        <v>0.025</v>
      </c>
      <c r="H122" s="22" t="n">
        <f aca="false">C122*G122</f>
        <v>0</v>
      </c>
      <c r="I122" s="23" t="n">
        <f aca="false">F122+H122</f>
        <v>0</v>
      </c>
    </row>
    <row r="123" customFormat="false" ht="15" hidden="false" customHeight="false" outlineLevel="0" collapsed="false">
      <c r="A123" s="19" t="str">
        <f aca="false">'Client-Product Master'!B19</f>
        <v>Tata Steel Ltd</v>
      </c>
      <c r="B123" s="19" t="str">
        <f aca="false">'Client-Product Master'!C19</f>
        <v>BAR Scale</v>
      </c>
      <c r="C123" s="20" t="n">
        <f aca="false">'Client-Product Master'!E19</f>
        <v>0</v>
      </c>
      <c r="D123" s="8" t="n">
        <v>3</v>
      </c>
      <c r="E123" s="21" t="n">
        <f aca="false">INDEX('AMC &amp; Spares % Assumptions'!$B$5:$B$11, D123)</f>
        <v>0.045</v>
      </c>
      <c r="F123" s="22" t="n">
        <f aca="false">C123*E123</f>
        <v>0</v>
      </c>
      <c r="G123" s="21" t="n">
        <f aca="false">INDEX('AMC &amp; Spares % Assumptions'!$C$5:$C$11, D123)</f>
        <v>0.045</v>
      </c>
      <c r="H123" s="22" t="n">
        <f aca="false">C123*G123</f>
        <v>0</v>
      </c>
      <c r="I123" s="23" t="n">
        <f aca="false">F123+H123</f>
        <v>0</v>
      </c>
    </row>
    <row r="124" customFormat="false" ht="15" hidden="false" customHeight="false" outlineLevel="0" collapsed="false">
      <c r="A124" s="19" t="str">
        <f aca="false">'Client-Product Master'!B19</f>
        <v>Tata Steel Ltd</v>
      </c>
      <c r="B124" s="19" t="str">
        <f aca="false">'Client-Product Master'!C19</f>
        <v>BAR Scale</v>
      </c>
      <c r="C124" s="20" t="n">
        <f aca="false">'Client-Product Master'!E19</f>
        <v>0</v>
      </c>
      <c r="D124" s="8" t="n">
        <v>4</v>
      </c>
      <c r="E124" s="21" t="n">
        <f aca="false">INDEX('AMC &amp; Spares % Assumptions'!$B$5:$B$11, D124)</f>
        <v>0.055</v>
      </c>
      <c r="F124" s="22" t="n">
        <f aca="false">C124*E124</f>
        <v>0</v>
      </c>
      <c r="G124" s="21" t="n">
        <f aca="false">INDEX('AMC &amp; Spares % Assumptions'!$C$5:$C$11, D124)</f>
        <v>0.06</v>
      </c>
      <c r="H124" s="22" t="n">
        <f aca="false">C124*G124</f>
        <v>0</v>
      </c>
      <c r="I124" s="23" t="n">
        <f aca="false">F124+H124</f>
        <v>0</v>
      </c>
    </row>
    <row r="125" customFormat="false" ht="15" hidden="false" customHeight="false" outlineLevel="0" collapsed="false">
      <c r="A125" s="19" t="str">
        <f aca="false">'Client-Product Master'!B19</f>
        <v>Tata Steel Ltd</v>
      </c>
      <c r="B125" s="19" t="str">
        <f aca="false">'Client-Product Master'!C19</f>
        <v>BAR Scale</v>
      </c>
      <c r="C125" s="20" t="n">
        <f aca="false">'Client-Product Master'!E19</f>
        <v>0</v>
      </c>
      <c r="D125" s="8" t="n">
        <v>5</v>
      </c>
      <c r="E125" s="21" t="n">
        <f aca="false">INDEX('AMC &amp; Spares % Assumptions'!$B$5:$B$11, D125)</f>
        <v>0.06</v>
      </c>
      <c r="F125" s="22" t="n">
        <f aca="false">C125*E125</f>
        <v>0</v>
      </c>
      <c r="G125" s="21" t="n">
        <f aca="false">INDEX('AMC &amp; Spares % Assumptions'!$C$5:$C$11, D125)</f>
        <v>0.075</v>
      </c>
      <c r="H125" s="22" t="n">
        <f aca="false">C125*G125</f>
        <v>0</v>
      </c>
      <c r="I125" s="23" t="n">
        <f aca="false">F125+H125</f>
        <v>0</v>
      </c>
    </row>
    <row r="126" customFormat="false" ht="15" hidden="false" customHeight="false" outlineLevel="0" collapsed="false">
      <c r="A126" s="19" t="str">
        <f aca="false">'Client-Product Master'!B19</f>
        <v>Tata Steel Ltd</v>
      </c>
      <c r="B126" s="19" t="str">
        <f aca="false">'Client-Product Master'!C19</f>
        <v>BAR Scale</v>
      </c>
      <c r="C126" s="20" t="n">
        <f aca="false">'Client-Product Master'!E19</f>
        <v>0</v>
      </c>
      <c r="D126" s="8" t="n">
        <v>6</v>
      </c>
      <c r="E126" s="21" t="n">
        <f aca="false">INDEX('AMC &amp; Spares % Assumptions'!$B$5:$B$11, D126)</f>
        <v>0.065</v>
      </c>
      <c r="F126" s="22" t="n">
        <f aca="false">C126*E126</f>
        <v>0</v>
      </c>
      <c r="G126" s="21" t="n">
        <f aca="false">INDEX('AMC &amp; Spares % Assumptions'!$C$5:$C$11, D126)</f>
        <v>0.085</v>
      </c>
      <c r="H126" s="22" t="n">
        <f aca="false">C126*G126</f>
        <v>0</v>
      </c>
      <c r="I126" s="23" t="n">
        <f aca="false">F126+H126</f>
        <v>0</v>
      </c>
    </row>
    <row r="127" customFormat="false" ht="15" hidden="false" customHeight="false" outlineLevel="0" collapsed="false">
      <c r="A127" s="19" t="str">
        <f aca="false">'Client-Product Master'!B19</f>
        <v>Tata Steel Ltd</v>
      </c>
      <c r="B127" s="19" t="str">
        <f aca="false">'Client-Product Master'!C19</f>
        <v>BAR Scale</v>
      </c>
      <c r="C127" s="20" t="n">
        <f aca="false">'Client-Product Master'!E19</f>
        <v>0</v>
      </c>
      <c r="D127" s="8" t="n">
        <v>7</v>
      </c>
      <c r="E127" s="21" t="n">
        <f aca="false">INDEX('AMC &amp; Spares % Assumptions'!$B$5:$B$11, D127)</f>
        <v>0.07</v>
      </c>
      <c r="F127" s="22" t="n">
        <f aca="false">C127*E127</f>
        <v>0</v>
      </c>
      <c r="G127" s="21" t="n">
        <f aca="false">INDEX('AMC &amp; Spares % Assumptions'!$C$5:$C$11, D127)</f>
        <v>0.095</v>
      </c>
      <c r="H127" s="22" t="n">
        <f aca="false">C127*G127</f>
        <v>0</v>
      </c>
      <c r="I127" s="23" t="n">
        <f aca="false">F127+H127</f>
        <v>0</v>
      </c>
    </row>
    <row r="128" customFormat="false" ht="15" hidden="false" customHeight="false" outlineLevel="0" collapsed="false">
      <c r="A128" s="19" t="str">
        <f aca="false">'Client-Product Master'!B20</f>
        <v>JSL</v>
      </c>
      <c r="B128" s="19" t="str">
        <f aca="false">'Client-Product Master'!C20</f>
        <v>Bin weighing System</v>
      </c>
      <c r="C128" s="20" t="n">
        <f aca="false">'Client-Product Master'!E20</f>
        <v>0</v>
      </c>
      <c r="D128" s="8" t="n">
        <v>1</v>
      </c>
      <c r="E128" s="21" t="n">
        <f aca="false">INDEX('AMC &amp; Spares % Assumptions'!$B$5:$B$11, D128)</f>
        <v>0.015</v>
      </c>
      <c r="F128" s="22" t="n">
        <f aca="false">C128*E128</f>
        <v>0</v>
      </c>
      <c r="G128" s="21" t="n">
        <f aca="false">INDEX('AMC &amp; Spares % Assumptions'!$C$5:$C$11, D128)</f>
        <v>0.01</v>
      </c>
      <c r="H128" s="22" t="n">
        <f aca="false">C128*G128</f>
        <v>0</v>
      </c>
      <c r="I128" s="23" t="n">
        <f aca="false">F128+H128</f>
        <v>0</v>
      </c>
    </row>
    <row r="129" customFormat="false" ht="15" hidden="false" customHeight="false" outlineLevel="0" collapsed="false">
      <c r="A129" s="19" t="str">
        <f aca="false">'Client-Product Master'!B20</f>
        <v>JSL</v>
      </c>
      <c r="B129" s="19" t="str">
        <f aca="false">'Client-Product Master'!C20</f>
        <v>Bin weighing System</v>
      </c>
      <c r="C129" s="20" t="n">
        <f aca="false">'Client-Product Master'!E20</f>
        <v>0</v>
      </c>
      <c r="D129" s="8" t="n">
        <v>2</v>
      </c>
      <c r="E129" s="21" t="n">
        <f aca="false">INDEX('AMC &amp; Spares % Assumptions'!$B$5:$B$11, D129)</f>
        <v>0.03</v>
      </c>
      <c r="F129" s="22" t="n">
        <f aca="false">C129*E129</f>
        <v>0</v>
      </c>
      <c r="G129" s="21" t="n">
        <f aca="false">INDEX('AMC &amp; Spares % Assumptions'!$C$5:$C$11, D129)</f>
        <v>0.025</v>
      </c>
      <c r="H129" s="22" t="n">
        <f aca="false">C129*G129</f>
        <v>0</v>
      </c>
      <c r="I129" s="23" t="n">
        <f aca="false">F129+H129</f>
        <v>0</v>
      </c>
    </row>
    <row r="130" customFormat="false" ht="15" hidden="false" customHeight="false" outlineLevel="0" collapsed="false">
      <c r="A130" s="19" t="str">
        <f aca="false">'Client-Product Master'!B20</f>
        <v>JSL</v>
      </c>
      <c r="B130" s="19" t="str">
        <f aca="false">'Client-Product Master'!C20</f>
        <v>Bin weighing System</v>
      </c>
      <c r="C130" s="20" t="n">
        <f aca="false">'Client-Product Master'!E20</f>
        <v>0</v>
      </c>
      <c r="D130" s="8" t="n">
        <v>3</v>
      </c>
      <c r="E130" s="21" t="n">
        <f aca="false">INDEX('AMC &amp; Spares % Assumptions'!$B$5:$B$11, D130)</f>
        <v>0.045</v>
      </c>
      <c r="F130" s="22" t="n">
        <f aca="false">C130*E130</f>
        <v>0</v>
      </c>
      <c r="G130" s="21" t="n">
        <f aca="false">INDEX('AMC &amp; Spares % Assumptions'!$C$5:$C$11, D130)</f>
        <v>0.045</v>
      </c>
      <c r="H130" s="22" t="n">
        <f aca="false">C130*G130</f>
        <v>0</v>
      </c>
      <c r="I130" s="23" t="n">
        <f aca="false">F130+H130</f>
        <v>0</v>
      </c>
    </row>
    <row r="131" customFormat="false" ht="15" hidden="false" customHeight="false" outlineLevel="0" collapsed="false">
      <c r="A131" s="19" t="str">
        <f aca="false">'Client-Product Master'!B20</f>
        <v>JSL</v>
      </c>
      <c r="B131" s="19" t="str">
        <f aca="false">'Client-Product Master'!C20</f>
        <v>Bin weighing System</v>
      </c>
      <c r="C131" s="20" t="n">
        <f aca="false">'Client-Product Master'!E20</f>
        <v>0</v>
      </c>
      <c r="D131" s="8" t="n">
        <v>4</v>
      </c>
      <c r="E131" s="21" t="n">
        <f aca="false">INDEX('AMC &amp; Spares % Assumptions'!$B$5:$B$11, D131)</f>
        <v>0.055</v>
      </c>
      <c r="F131" s="22" t="n">
        <f aca="false">C131*E131</f>
        <v>0</v>
      </c>
      <c r="G131" s="21" t="n">
        <f aca="false">INDEX('AMC &amp; Spares % Assumptions'!$C$5:$C$11, D131)</f>
        <v>0.06</v>
      </c>
      <c r="H131" s="22" t="n">
        <f aca="false">C131*G131</f>
        <v>0</v>
      </c>
      <c r="I131" s="23" t="n">
        <f aca="false">F131+H131</f>
        <v>0</v>
      </c>
    </row>
    <row r="132" customFormat="false" ht="15" hidden="false" customHeight="false" outlineLevel="0" collapsed="false">
      <c r="A132" s="19" t="str">
        <f aca="false">'Client-Product Master'!B20</f>
        <v>JSL</v>
      </c>
      <c r="B132" s="19" t="str">
        <f aca="false">'Client-Product Master'!C20</f>
        <v>Bin weighing System</v>
      </c>
      <c r="C132" s="20" t="n">
        <f aca="false">'Client-Product Master'!E20</f>
        <v>0</v>
      </c>
      <c r="D132" s="8" t="n">
        <v>5</v>
      </c>
      <c r="E132" s="21" t="n">
        <f aca="false">INDEX('AMC &amp; Spares % Assumptions'!$B$5:$B$11, D132)</f>
        <v>0.06</v>
      </c>
      <c r="F132" s="22" t="n">
        <f aca="false">C132*E132</f>
        <v>0</v>
      </c>
      <c r="G132" s="21" t="n">
        <f aca="false">INDEX('AMC &amp; Spares % Assumptions'!$C$5:$C$11, D132)</f>
        <v>0.075</v>
      </c>
      <c r="H132" s="22" t="n">
        <f aca="false">C132*G132</f>
        <v>0</v>
      </c>
      <c r="I132" s="23" t="n">
        <f aca="false">F132+H132</f>
        <v>0</v>
      </c>
    </row>
    <row r="133" customFormat="false" ht="15" hidden="false" customHeight="false" outlineLevel="0" collapsed="false">
      <c r="A133" s="19" t="str">
        <f aca="false">'Client-Product Master'!B20</f>
        <v>JSL</v>
      </c>
      <c r="B133" s="19" t="str">
        <f aca="false">'Client-Product Master'!C20</f>
        <v>Bin weighing System</v>
      </c>
      <c r="C133" s="20" t="n">
        <f aca="false">'Client-Product Master'!E20</f>
        <v>0</v>
      </c>
      <c r="D133" s="8" t="n">
        <v>6</v>
      </c>
      <c r="E133" s="21" t="n">
        <f aca="false">INDEX('AMC &amp; Spares % Assumptions'!$B$5:$B$11, D133)</f>
        <v>0.065</v>
      </c>
      <c r="F133" s="22" t="n">
        <f aca="false">C133*E133</f>
        <v>0</v>
      </c>
      <c r="G133" s="21" t="n">
        <f aca="false">INDEX('AMC &amp; Spares % Assumptions'!$C$5:$C$11, D133)</f>
        <v>0.085</v>
      </c>
      <c r="H133" s="22" t="n">
        <f aca="false">C133*G133</f>
        <v>0</v>
      </c>
      <c r="I133" s="23" t="n">
        <f aca="false">F133+H133</f>
        <v>0</v>
      </c>
    </row>
    <row r="134" customFormat="false" ht="15" hidden="false" customHeight="false" outlineLevel="0" collapsed="false">
      <c r="A134" s="19" t="str">
        <f aca="false">'Client-Product Master'!B20</f>
        <v>JSL</v>
      </c>
      <c r="B134" s="19" t="str">
        <f aca="false">'Client-Product Master'!C20</f>
        <v>Bin weighing System</v>
      </c>
      <c r="C134" s="20" t="n">
        <f aca="false">'Client-Product Master'!E20</f>
        <v>0</v>
      </c>
      <c r="D134" s="8" t="n">
        <v>7</v>
      </c>
      <c r="E134" s="21" t="n">
        <f aca="false">INDEX('AMC &amp; Spares % Assumptions'!$B$5:$B$11, D134)</f>
        <v>0.07</v>
      </c>
      <c r="F134" s="22" t="n">
        <f aca="false">C134*E134</f>
        <v>0</v>
      </c>
      <c r="G134" s="21" t="n">
        <f aca="false">INDEX('AMC &amp; Spares % Assumptions'!$C$5:$C$11, D134)</f>
        <v>0.095</v>
      </c>
      <c r="H134" s="22" t="n">
        <f aca="false">C134*G134</f>
        <v>0</v>
      </c>
      <c r="I134" s="23" t="n">
        <f aca="false">F134+H134</f>
        <v>0</v>
      </c>
    </row>
    <row r="135" customFormat="false" ht="15" hidden="false" customHeight="false" outlineLevel="0" collapsed="false">
      <c r="A135" s="19" t="str">
        <f aca="false">'Client-Product Master'!B21</f>
        <v>JSW BPSL</v>
      </c>
      <c r="B135" s="19" t="str">
        <f aca="false">'Client-Product Master'!C21</f>
        <v>Bin weighing System</v>
      </c>
      <c r="C135" s="20" t="n">
        <f aca="false">'Client-Product Master'!E21</f>
        <v>0</v>
      </c>
      <c r="D135" s="8" t="n">
        <v>1</v>
      </c>
      <c r="E135" s="21" t="n">
        <f aca="false">INDEX('AMC &amp; Spares % Assumptions'!$B$5:$B$11, D135)</f>
        <v>0.015</v>
      </c>
      <c r="F135" s="22" t="n">
        <f aca="false">C135*E135</f>
        <v>0</v>
      </c>
      <c r="G135" s="21" t="n">
        <f aca="false">INDEX('AMC &amp; Spares % Assumptions'!$C$5:$C$11, D135)</f>
        <v>0.01</v>
      </c>
      <c r="H135" s="22" t="n">
        <f aca="false">C135*G135</f>
        <v>0</v>
      </c>
      <c r="I135" s="23" t="n">
        <f aca="false">F135+H135</f>
        <v>0</v>
      </c>
    </row>
    <row r="136" customFormat="false" ht="15" hidden="false" customHeight="false" outlineLevel="0" collapsed="false">
      <c r="A136" s="19" t="str">
        <f aca="false">'Client-Product Master'!B21</f>
        <v>JSW BPSL</v>
      </c>
      <c r="B136" s="19" t="str">
        <f aca="false">'Client-Product Master'!C21</f>
        <v>Bin weighing System</v>
      </c>
      <c r="C136" s="20" t="n">
        <f aca="false">'Client-Product Master'!E21</f>
        <v>0</v>
      </c>
      <c r="D136" s="8" t="n">
        <v>2</v>
      </c>
      <c r="E136" s="21" t="n">
        <f aca="false">INDEX('AMC &amp; Spares % Assumptions'!$B$5:$B$11, D136)</f>
        <v>0.03</v>
      </c>
      <c r="F136" s="22" t="n">
        <f aca="false">C136*E136</f>
        <v>0</v>
      </c>
      <c r="G136" s="21" t="n">
        <f aca="false">INDEX('AMC &amp; Spares % Assumptions'!$C$5:$C$11, D136)</f>
        <v>0.025</v>
      </c>
      <c r="H136" s="22" t="n">
        <f aca="false">C136*G136</f>
        <v>0</v>
      </c>
      <c r="I136" s="23" t="n">
        <f aca="false">F136+H136</f>
        <v>0</v>
      </c>
    </row>
    <row r="137" customFormat="false" ht="15" hidden="false" customHeight="false" outlineLevel="0" collapsed="false">
      <c r="A137" s="19" t="str">
        <f aca="false">'Client-Product Master'!B21</f>
        <v>JSW BPSL</v>
      </c>
      <c r="B137" s="19" t="str">
        <f aca="false">'Client-Product Master'!C21</f>
        <v>Bin weighing System</v>
      </c>
      <c r="C137" s="20" t="n">
        <f aca="false">'Client-Product Master'!E21</f>
        <v>0</v>
      </c>
      <c r="D137" s="8" t="n">
        <v>3</v>
      </c>
      <c r="E137" s="21" t="n">
        <f aca="false">INDEX('AMC &amp; Spares % Assumptions'!$B$5:$B$11, D137)</f>
        <v>0.045</v>
      </c>
      <c r="F137" s="22" t="n">
        <f aca="false">C137*E137</f>
        <v>0</v>
      </c>
      <c r="G137" s="21" t="n">
        <f aca="false">INDEX('AMC &amp; Spares % Assumptions'!$C$5:$C$11, D137)</f>
        <v>0.045</v>
      </c>
      <c r="H137" s="22" t="n">
        <f aca="false">C137*G137</f>
        <v>0</v>
      </c>
      <c r="I137" s="23" t="n">
        <f aca="false">F137+H137</f>
        <v>0</v>
      </c>
    </row>
    <row r="138" customFormat="false" ht="15" hidden="false" customHeight="false" outlineLevel="0" collapsed="false">
      <c r="A138" s="19" t="str">
        <f aca="false">'Client-Product Master'!B21</f>
        <v>JSW BPSL</v>
      </c>
      <c r="B138" s="19" t="str">
        <f aca="false">'Client-Product Master'!C21</f>
        <v>Bin weighing System</v>
      </c>
      <c r="C138" s="20" t="n">
        <f aca="false">'Client-Product Master'!E21</f>
        <v>0</v>
      </c>
      <c r="D138" s="8" t="n">
        <v>4</v>
      </c>
      <c r="E138" s="21" t="n">
        <f aca="false">INDEX('AMC &amp; Spares % Assumptions'!$B$5:$B$11, D138)</f>
        <v>0.055</v>
      </c>
      <c r="F138" s="22" t="n">
        <f aca="false">C138*E138</f>
        <v>0</v>
      </c>
      <c r="G138" s="21" t="n">
        <f aca="false">INDEX('AMC &amp; Spares % Assumptions'!$C$5:$C$11, D138)</f>
        <v>0.06</v>
      </c>
      <c r="H138" s="22" t="n">
        <f aca="false">C138*G138</f>
        <v>0</v>
      </c>
      <c r="I138" s="23" t="n">
        <f aca="false">F138+H138</f>
        <v>0</v>
      </c>
    </row>
    <row r="139" customFormat="false" ht="15" hidden="false" customHeight="false" outlineLevel="0" collapsed="false">
      <c r="A139" s="19" t="str">
        <f aca="false">'Client-Product Master'!B21</f>
        <v>JSW BPSL</v>
      </c>
      <c r="B139" s="19" t="str">
        <f aca="false">'Client-Product Master'!C21</f>
        <v>Bin weighing System</v>
      </c>
      <c r="C139" s="20" t="n">
        <f aca="false">'Client-Product Master'!E21</f>
        <v>0</v>
      </c>
      <c r="D139" s="8" t="n">
        <v>5</v>
      </c>
      <c r="E139" s="21" t="n">
        <f aca="false">INDEX('AMC &amp; Spares % Assumptions'!$B$5:$B$11, D139)</f>
        <v>0.06</v>
      </c>
      <c r="F139" s="22" t="n">
        <f aca="false">C139*E139</f>
        <v>0</v>
      </c>
      <c r="G139" s="21" t="n">
        <f aca="false">INDEX('AMC &amp; Spares % Assumptions'!$C$5:$C$11, D139)</f>
        <v>0.075</v>
      </c>
      <c r="H139" s="22" t="n">
        <f aca="false">C139*G139</f>
        <v>0</v>
      </c>
      <c r="I139" s="23" t="n">
        <f aca="false">F139+H139</f>
        <v>0</v>
      </c>
    </row>
    <row r="140" customFormat="false" ht="15" hidden="false" customHeight="false" outlineLevel="0" collapsed="false">
      <c r="A140" s="19" t="str">
        <f aca="false">'Client-Product Master'!B21</f>
        <v>JSW BPSL</v>
      </c>
      <c r="B140" s="19" t="str">
        <f aca="false">'Client-Product Master'!C21</f>
        <v>Bin weighing System</v>
      </c>
      <c r="C140" s="20" t="n">
        <f aca="false">'Client-Product Master'!E21</f>
        <v>0</v>
      </c>
      <c r="D140" s="8" t="n">
        <v>6</v>
      </c>
      <c r="E140" s="21" t="n">
        <f aca="false">INDEX('AMC &amp; Spares % Assumptions'!$B$5:$B$11, D140)</f>
        <v>0.065</v>
      </c>
      <c r="F140" s="22" t="n">
        <f aca="false">C140*E140</f>
        <v>0</v>
      </c>
      <c r="G140" s="21" t="n">
        <f aca="false">INDEX('AMC &amp; Spares % Assumptions'!$C$5:$C$11, D140)</f>
        <v>0.085</v>
      </c>
      <c r="H140" s="22" t="n">
        <f aca="false">C140*G140</f>
        <v>0</v>
      </c>
      <c r="I140" s="23" t="n">
        <f aca="false">F140+H140</f>
        <v>0</v>
      </c>
    </row>
    <row r="141" customFormat="false" ht="15" hidden="false" customHeight="false" outlineLevel="0" collapsed="false">
      <c r="A141" s="19" t="str">
        <f aca="false">'Client-Product Master'!B21</f>
        <v>JSW BPSL</v>
      </c>
      <c r="B141" s="19" t="str">
        <f aca="false">'Client-Product Master'!C21</f>
        <v>Bin weighing System</v>
      </c>
      <c r="C141" s="20" t="n">
        <f aca="false">'Client-Product Master'!E21</f>
        <v>0</v>
      </c>
      <c r="D141" s="8" t="n">
        <v>7</v>
      </c>
      <c r="E141" s="21" t="n">
        <f aca="false">INDEX('AMC &amp; Spares % Assumptions'!$B$5:$B$11, D141)</f>
        <v>0.07</v>
      </c>
      <c r="F141" s="22" t="n">
        <f aca="false">C141*E141</f>
        <v>0</v>
      </c>
      <c r="G141" s="21" t="n">
        <f aca="false">INDEX('AMC &amp; Spares % Assumptions'!$C$5:$C$11, D141)</f>
        <v>0.095</v>
      </c>
      <c r="H141" s="22" t="n">
        <f aca="false">C141*G141</f>
        <v>0</v>
      </c>
      <c r="I141" s="23" t="n">
        <f aca="false">F141+H141</f>
        <v>0</v>
      </c>
    </row>
    <row r="142" customFormat="false" ht="15" hidden="false" customHeight="false" outlineLevel="0" collapsed="false">
      <c r="A142" s="19" t="str">
        <f aca="false">'Client-Product Master'!B22</f>
        <v>Ultratech Cement Limited</v>
      </c>
      <c r="B142" s="19" t="str">
        <f aca="false">'Client-Product Master'!C22</f>
        <v>Unmanned weighbridge</v>
      </c>
      <c r="C142" s="20" t="n">
        <f aca="false">'Client-Product Master'!E22</f>
        <v>0</v>
      </c>
      <c r="D142" s="8" t="n">
        <v>1</v>
      </c>
      <c r="E142" s="21" t="n">
        <f aca="false">INDEX('AMC &amp; Spares % Assumptions'!$B$5:$B$11, D142)</f>
        <v>0.015</v>
      </c>
      <c r="F142" s="22" t="n">
        <f aca="false">C142*E142</f>
        <v>0</v>
      </c>
      <c r="G142" s="21" t="n">
        <f aca="false">INDEX('AMC &amp; Spares % Assumptions'!$C$5:$C$11, D142)</f>
        <v>0.01</v>
      </c>
      <c r="H142" s="22" t="n">
        <f aca="false">C142*G142</f>
        <v>0</v>
      </c>
      <c r="I142" s="23" t="n">
        <f aca="false">F142+H142</f>
        <v>0</v>
      </c>
    </row>
    <row r="143" customFormat="false" ht="15" hidden="false" customHeight="false" outlineLevel="0" collapsed="false">
      <c r="A143" s="19" t="str">
        <f aca="false">'Client-Product Master'!B22</f>
        <v>Ultratech Cement Limited</v>
      </c>
      <c r="B143" s="19" t="str">
        <f aca="false">'Client-Product Master'!C22</f>
        <v>Unmanned weighbridge</v>
      </c>
      <c r="C143" s="20" t="n">
        <f aca="false">'Client-Product Master'!E22</f>
        <v>0</v>
      </c>
      <c r="D143" s="8" t="n">
        <v>2</v>
      </c>
      <c r="E143" s="21" t="n">
        <f aca="false">INDEX('AMC &amp; Spares % Assumptions'!$B$5:$B$11, D143)</f>
        <v>0.03</v>
      </c>
      <c r="F143" s="22" t="n">
        <f aca="false">C143*E143</f>
        <v>0</v>
      </c>
      <c r="G143" s="21" t="n">
        <f aca="false">INDEX('AMC &amp; Spares % Assumptions'!$C$5:$C$11, D143)</f>
        <v>0.025</v>
      </c>
      <c r="H143" s="22" t="n">
        <f aca="false">C143*G143</f>
        <v>0</v>
      </c>
      <c r="I143" s="23" t="n">
        <f aca="false">F143+H143</f>
        <v>0</v>
      </c>
    </row>
    <row r="144" customFormat="false" ht="15" hidden="false" customHeight="false" outlineLevel="0" collapsed="false">
      <c r="A144" s="19" t="str">
        <f aca="false">'Client-Product Master'!B22</f>
        <v>Ultratech Cement Limited</v>
      </c>
      <c r="B144" s="19" t="str">
        <f aca="false">'Client-Product Master'!C22</f>
        <v>Unmanned weighbridge</v>
      </c>
      <c r="C144" s="20" t="n">
        <f aca="false">'Client-Product Master'!E22</f>
        <v>0</v>
      </c>
      <c r="D144" s="8" t="n">
        <v>3</v>
      </c>
      <c r="E144" s="21" t="n">
        <f aca="false">INDEX('AMC &amp; Spares % Assumptions'!$B$5:$B$11, D144)</f>
        <v>0.045</v>
      </c>
      <c r="F144" s="22" t="n">
        <f aca="false">C144*E144</f>
        <v>0</v>
      </c>
      <c r="G144" s="21" t="n">
        <f aca="false">INDEX('AMC &amp; Spares % Assumptions'!$C$5:$C$11, D144)</f>
        <v>0.045</v>
      </c>
      <c r="H144" s="22" t="n">
        <f aca="false">C144*G144</f>
        <v>0</v>
      </c>
      <c r="I144" s="23" t="n">
        <f aca="false">F144+H144</f>
        <v>0</v>
      </c>
    </row>
    <row r="145" customFormat="false" ht="15" hidden="false" customHeight="false" outlineLevel="0" collapsed="false">
      <c r="A145" s="19" t="str">
        <f aca="false">'Client-Product Master'!B22</f>
        <v>Ultratech Cement Limited</v>
      </c>
      <c r="B145" s="19" t="str">
        <f aca="false">'Client-Product Master'!C22</f>
        <v>Unmanned weighbridge</v>
      </c>
      <c r="C145" s="20" t="n">
        <f aca="false">'Client-Product Master'!E22</f>
        <v>0</v>
      </c>
      <c r="D145" s="8" t="n">
        <v>4</v>
      </c>
      <c r="E145" s="21" t="n">
        <f aca="false">INDEX('AMC &amp; Spares % Assumptions'!$B$5:$B$11, D145)</f>
        <v>0.055</v>
      </c>
      <c r="F145" s="22" t="n">
        <f aca="false">C145*E145</f>
        <v>0</v>
      </c>
      <c r="G145" s="21" t="n">
        <f aca="false">INDEX('AMC &amp; Spares % Assumptions'!$C$5:$C$11, D145)</f>
        <v>0.06</v>
      </c>
      <c r="H145" s="22" t="n">
        <f aca="false">C145*G145</f>
        <v>0</v>
      </c>
      <c r="I145" s="23" t="n">
        <f aca="false">F145+H145</f>
        <v>0</v>
      </c>
    </row>
    <row r="146" customFormat="false" ht="15" hidden="false" customHeight="false" outlineLevel="0" collapsed="false">
      <c r="A146" s="19" t="str">
        <f aca="false">'Client-Product Master'!B22</f>
        <v>Ultratech Cement Limited</v>
      </c>
      <c r="B146" s="19" t="str">
        <f aca="false">'Client-Product Master'!C22</f>
        <v>Unmanned weighbridge</v>
      </c>
      <c r="C146" s="20" t="n">
        <f aca="false">'Client-Product Master'!E22</f>
        <v>0</v>
      </c>
      <c r="D146" s="8" t="n">
        <v>5</v>
      </c>
      <c r="E146" s="21" t="n">
        <f aca="false">INDEX('AMC &amp; Spares % Assumptions'!$B$5:$B$11, D146)</f>
        <v>0.06</v>
      </c>
      <c r="F146" s="22" t="n">
        <f aca="false">C146*E146</f>
        <v>0</v>
      </c>
      <c r="G146" s="21" t="n">
        <f aca="false">INDEX('AMC &amp; Spares % Assumptions'!$C$5:$C$11, D146)</f>
        <v>0.075</v>
      </c>
      <c r="H146" s="22" t="n">
        <f aca="false">C146*G146</f>
        <v>0</v>
      </c>
      <c r="I146" s="23" t="n">
        <f aca="false">F146+H146</f>
        <v>0</v>
      </c>
    </row>
    <row r="147" customFormat="false" ht="15" hidden="false" customHeight="false" outlineLevel="0" collapsed="false">
      <c r="A147" s="19" t="str">
        <f aca="false">'Client-Product Master'!B22</f>
        <v>Ultratech Cement Limited</v>
      </c>
      <c r="B147" s="19" t="str">
        <f aca="false">'Client-Product Master'!C22</f>
        <v>Unmanned weighbridge</v>
      </c>
      <c r="C147" s="20" t="n">
        <f aca="false">'Client-Product Master'!E22</f>
        <v>0</v>
      </c>
      <c r="D147" s="8" t="n">
        <v>6</v>
      </c>
      <c r="E147" s="21" t="n">
        <f aca="false">INDEX('AMC &amp; Spares % Assumptions'!$B$5:$B$11, D147)</f>
        <v>0.065</v>
      </c>
      <c r="F147" s="22" t="n">
        <f aca="false">C147*E147</f>
        <v>0</v>
      </c>
      <c r="G147" s="21" t="n">
        <f aca="false">INDEX('AMC &amp; Spares % Assumptions'!$C$5:$C$11, D147)</f>
        <v>0.085</v>
      </c>
      <c r="H147" s="22" t="n">
        <f aca="false">C147*G147</f>
        <v>0</v>
      </c>
      <c r="I147" s="23" t="n">
        <f aca="false">F147+H147</f>
        <v>0</v>
      </c>
    </row>
    <row r="148" customFormat="false" ht="15" hidden="false" customHeight="false" outlineLevel="0" collapsed="false">
      <c r="A148" s="19" t="str">
        <f aca="false">'Client-Product Master'!B22</f>
        <v>Ultratech Cement Limited</v>
      </c>
      <c r="B148" s="19" t="str">
        <f aca="false">'Client-Product Master'!C22</f>
        <v>Unmanned weighbridge</v>
      </c>
      <c r="C148" s="20" t="n">
        <f aca="false">'Client-Product Master'!E22</f>
        <v>0</v>
      </c>
      <c r="D148" s="8" t="n">
        <v>7</v>
      </c>
      <c r="E148" s="21" t="n">
        <f aca="false">INDEX('AMC &amp; Spares % Assumptions'!$B$5:$B$11, D148)</f>
        <v>0.07</v>
      </c>
      <c r="F148" s="22" t="n">
        <f aca="false">C148*E148</f>
        <v>0</v>
      </c>
      <c r="G148" s="21" t="n">
        <f aca="false">INDEX('AMC &amp; Spares % Assumptions'!$C$5:$C$11, D148)</f>
        <v>0.095</v>
      </c>
      <c r="H148" s="22" t="n">
        <f aca="false">C148*G148</f>
        <v>0</v>
      </c>
      <c r="I148" s="23" t="n">
        <f aca="false">F148+H148</f>
        <v>0</v>
      </c>
    </row>
    <row r="149" customFormat="false" ht="15" hidden="false" customHeight="false" outlineLevel="0" collapsed="false">
      <c r="A149" s="19" t="str">
        <f aca="false">'Client-Product Master'!B23</f>
        <v>JAKSON GREEN PVT LTD</v>
      </c>
      <c r="B149" s="19" t="str">
        <f aca="false">'Client-Product Master'!C23</f>
        <v>Axle weighing pad</v>
      </c>
      <c r="C149" s="20" t="n">
        <f aca="false">'Client-Product Master'!E23</f>
        <v>0</v>
      </c>
      <c r="D149" s="8" t="n">
        <v>1</v>
      </c>
      <c r="E149" s="21" t="n">
        <f aca="false">INDEX('AMC &amp; Spares % Assumptions'!$B$5:$B$11, D149)</f>
        <v>0.015</v>
      </c>
      <c r="F149" s="22" t="n">
        <f aca="false">C149*E149</f>
        <v>0</v>
      </c>
      <c r="G149" s="21" t="n">
        <f aca="false">INDEX('AMC &amp; Spares % Assumptions'!$C$5:$C$11, D149)</f>
        <v>0.01</v>
      </c>
      <c r="H149" s="22" t="n">
        <f aca="false">C149*G149</f>
        <v>0</v>
      </c>
      <c r="I149" s="23" t="n">
        <f aca="false">F149+H149</f>
        <v>0</v>
      </c>
    </row>
    <row r="150" customFormat="false" ht="15" hidden="false" customHeight="false" outlineLevel="0" collapsed="false">
      <c r="A150" s="19" t="str">
        <f aca="false">'Client-Product Master'!B23</f>
        <v>JAKSON GREEN PVT LTD</v>
      </c>
      <c r="B150" s="19" t="str">
        <f aca="false">'Client-Product Master'!C23</f>
        <v>Axle weighing pad</v>
      </c>
      <c r="C150" s="20" t="n">
        <f aca="false">'Client-Product Master'!E23</f>
        <v>0</v>
      </c>
      <c r="D150" s="8" t="n">
        <v>2</v>
      </c>
      <c r="E150" s="21" t="n">
        <f aca="false">INDEX('AMC &amp; Spares % Assumptions'!$B$5:$B$11, D150)</f>
        <v>0.03</v>
      </c>
      <c r="F150" s="22" t="n">
        <f aca="false">C150*E150</f>
        <v>0</v>
      </c>
      <c r="G150" s="21" t="n">
        <f aca="false">INDEX('AMC &amp; Spares % Assumptions'!$C$5:$C$11, D150)</f>
        <v>0.025</v>
      </c>
      <c r="H150" s="22" t="n">
        <f aca="false">C150*G150</f>
        <v>0</v>
      </c>
      <c r="I150" s="23" t="n">
        <f aca="false">F150+H150</f>
        <v>0</v>
      </c>
    </row>
    <row r="151" customFormat="false" ht="15" hidden="false" customHeight="false" outlineLevel="0" collapsed="false">
      <c r="A151" s="19" t="str">
        <f aca="false">'Client-Product Master'!B23</f>
        <v>JAKSON GREEN PVT LTD</v>
      </c>
      <c r="B151" s="19" t="str">
        <f aca="false">'Client-Product Master'!C23</f>
        <v>Axle weighing pad</v>
      </c>
      <c r="C151" s="20" t="n">
        <f aca="false">'Client-Product Master'!E23</f>
        <v>0</v>
      </c>
      <c r="D151" s="8" t="n">
        <v>3</v>
      </c>
      <c r="E151" s="21" t="n">
        <f aca="false">INDEX('AMC &amp; Spares % Assumptions'!$B$5:$B$11, D151)</f>
        <v>0.045</v>
      </c>
      <c r="F151" s="22" t="n">
        <f aca="false">C151*E151</f>
        <v>0</v>
      </c>
      <c r="G151" s="21" t="n">
        <f aca="false">INDEX('AMC &amp; Spares % Assumptions'!$C$5:$C$11, D151)</f>
        <v>0.045</v>
      </c>
      <c r="H151" s="22" t="n">
        <f aca="false">C151*G151</f>
        <v>0</v>
      </c>
      <c r="I151" s="23" t="n">
        <f aca="false">F151+H151</f>
        <v>0</v>
      </c>
    </row>
    <row r="152" customFormat="false" ht="15" hidden="false" customHeight="false" outlineLevel="0" collapsed="false">
      <c r="A152" s="19" t="str">
        <f aca="false">'Client-Product Master'!B23</f>
        <v>JAKSON GREEN PVT LTD</v>
      </c>
      <c r="B152" s="19" t="str">
        <f aca="false">'Client-Product Master'!C23</f>
        <v>Axle weighing pad</v>
      </c>
      <c r="C152" s="20" t="n">
        <f aca="false">'Client-Product Master'!E23</f>
        <v>0</v>
      </c>
      <c r="D152" s="8" t="n">
        <v>4</v>
      </c>
      <c r="E152" s="21" t="n">
        <f aca="false">INDEX('AMC &amp; Spares % Assumptions'!$B$5:$B$11, D152)</f>
        <v>0.055</v>
      </c>
      <c r="F152" s="22" t="n">
        <f aca="false">C152*E152</f>
        <v>0</v>
      </c>
      <c r="G152" s="21" t="n">
        <f aca="false">INDEX('AMC &amp; Spares % Assumptions'!$C$5:$C$11, D152)</f>
        <v>0.06</v>
      </c>
      <c r="H152" s="22" t="n">
        <f aca="false">C152*G152</f>
        <v>0</v>
      </c>
      <c r="I152" s="23" t="n">
        <f aca="false">F152+H152</f>
        <v>0</v>
      </c>
    </row>
    <row r="153" customFormat="false" ht="15" hidden="false" customHeight="false" outlineLevel="0" collapsed="false">
      <c r="A153" s="19" t="str">
        <f aca="false">'Client-Product Master'!B23</f>
        <v>JAKSON GREEN PVT LTD</v>
      </c>
      <c r="B153" s="19" t="str">
        <f aca="false">'Client-Product Master'!C23</f>
        <v>Axle weighing pad</v>
      </c>
      <c r="C153" s="20" t="n">
        <f aca="false">'Client-Product Master'!E23</f>
        <v>0</v>
      </c>
      <c r="D153" s="8" t="n">
        <v>5</v>
      </c>
      <c r="E153" s="21" t="n">
        <f aca="false">INDEX('AMC &amp; Spares % Assumptions'!$B$5:$B$11, D153)</f>
        <v>0.06</v>
      </c>
      <c r="F153" s="22" t="n">
        <f aca="false">C153*E153</f>
        <v>0</v>
      </c>
      <c r="G153" s="21" t="n">
        <f aca="false">INDEX('AMC &amp; Spares % Assumptions'!$C$5:$C$11, D153)</f>
        <v>0.075</v>
      </c>
      <c r="H153" s="22" t="n">
        <f aca="false">C153*G153</f>
        <v>0</v>
      </c>
      <c r="I153" s="23" t="n">
        <f aca="false">F153+H153</f>
        <v>0</v>
      </c>
    </row>
    <row r="154" customFormat="false" ht="15" hidden="false" customHeight="false" outlineLevel="0" collapsed="false">
      <c r="A154" s="19" t="str">
        <f aca="false">'Client-Product Master'!B23</f>
        <v>JAKSON GREEN PVT LTD</v>
      </c>
      <c r="B154" s="19" t="str">
        <f aca="false">'Client-Product Master'!C23</f>
        <v>Axle weighing pad</v>
      </c>
      <c r="C154" s="20" t="n">
        <f aca="false">'Client-Product Master'!E23</f>
        <v>0</v>
      </c>
      <c r="D154" s="8" t="n">
        <v>6</v>
      </c>
      <c r="E154" s="21" t="n">
        <f aca="false">INDEX('AMC &amp; Spares % Assumptions'!$B$5:$B$11, D154)</f>
        <v>0.065</v>
      </c>
      <c r="F154" s="22" t="n">
        <f aca="false">C154*E154</f>
        <v>0</v>
      </c>
      <c r="G154" s="21" t="n">
        <f aca="false">INDEX('AMC &amp; Spares % Assumptions'!$C$5:$C$11, D154)</f>
        <v>0.085</v>
      </c>
      <c r="H154" s="22" t="n">
        <f aca="false">C154*G154</f>
        <v>0</v>
      </c>
      <c r="I154" s="23" t="n">
        <f aca="false">F154+H154</f>
        <v>0</v>
      </c>
    </row>
    <row r="155" customFormat="false" ht="15" hidden="false" customHeight="false" outlineLevel="0" collapsed="false">
      <c r="A155" s="19" t="str">
        <f aca="false">'Client-Product Master'!B23</f>
        <v>JAKSON GREEN PVT LTD</v>
      </c>
      <c r="B155" s="19" t="str">
        <f aca="false">'Client-Product Master'!C23</f>
        <v>Axle weighing pad</v>
      </c>
      <c r="C155" s="20" t="n">
        <f aca="false">'Client-Product Master'!E23</f>
        <v>0</v>
      </c>
      <c r="D155" s="8" t="n">
        <v>7</v>
      </c>
      <c r="E155" s="21" t="n">
        <f aca="false">INDEX('AMC &amp; Spares % Assumptions'!$B$5:$B$11, D155)</f>
        <v>0.07</v>
      </c>
      <c r="F155" s="22" t="n">
        <f aca="false">C155*E155</f>
        <v>0</v>
      </c>
      <c r="G155" s="21" t="n">
        <f aca="false">INDEX('AMC &amp; Spares % Assumptions'!$C$5:$C$11, D155)</f>
        <v>0.095</v>
      </c>
      <c r="H155" s="22" t="n">
        <f aca="false">C155*G155</f>
        <v>0</v>
      </c>
      <c r="I155" s="23" t="n">
        <f aca="false">F155+H155</f>
        <v>0</v>
      </c>
    </row>
    <row r="156" customFormat="false" ht="15" hidden="false" customHeight="false" outlineLevel="0" collapsed="false">
      <c r="A156" s="19" t="str">
        <f aca="false">'Client-Product Master'!B24</f>
        <v>JINDAL STAINLESS LIMITED</v>
      </c>
      <c r="B156" s="19" t="str">
        <f aca="false">'Client-Product Master'!C24</f>
        <v>Crane Scale 60T &amp; 40 T - 1 No each</v>
      </c>
      <c r="C156" s="20" t="n">
        <f aca="false">'Client-Product Master'!E24</f>
        <v>0</v>
      </c>
      <c r="D156" s="8" t="n">
        <v>1</v>
      </c>
      <c r="E156" s="21" t="n">
        <f aca="false">INDEX('AMC &amp; Spares % Assumptions'!$B$5:$B$11, D156)</f>
        <v>0.015</v>
      </c>
      <c r="F156" s="22" t="n">
        <f aca="false">C156*E156</f>
        <v>0</v>
      </c>
      <c r="G156" s="21" t="n">
        <f aca="false">INDEX('AMC &amp; Spares % Assumptions'!$C$5:$C$11, D156)</f>
        <v>0.01</v>
      </c>
      <c r="H156" s="22" t="n">
        <f aca="false">C156*G156</f>
        <v>0</v>
      </c>
      <c r="I156" s="23" t="n">
        <f aca="false">F156+H156</f>
        <v>0</v>
      </c>
    </row>
    <row r="157" customFormat="false" ht="15" hidden="false" customHeight="false" outlineLevel="0" collapsed="false">
      <c r="A157" s="19" t="str">
        <f aca="false">'Client-Product Master'!B24</f>
        <v>JINDAL STAINLESS LIMITED</v>
      </c>
      <c r="B157" s="19" t="str">
        <f aca="false">'Client-Product Master'!C24</f>
        <v>Crane Scale 60T &amp; 40 T - 1 No each</v>
      </c>
      <c r="C157" s="20" t="n">
        <f aca="false">'Client-Product Master'!E24</f>
        <v>0</v>
      </c>
      <c r="D157" s="8" t="n">
        <v>2</v>
      </c>
      <c r="E157" s="21" t="n">
        <f aca="false">INDEX('AMC &amp; Spares % Assumptions'!$B$5:$B$11, D157)</f>
        <v>0.03</v>
      </c>
      <c r="F157" s="22" t="n">
        <f aca="false">C157*E157</f>
        <v>0</v>
      </c>
      <c r="G157" s="21" t="n">
        <f aca="false">INDEX('AMC &amp; Spares % Assumptions'!$C$5:$C$11, D157)</f>
        <v>0.025</v>
      </c>
      <c r="H157" s="22" t="n">
        <f aca="false">C157*G157</f>
        <v>0</v>
      </c>
      <c r="I157" s="23" t="n">
        <f aca="false">F157+H157</f>
        <v>0</v>
      </c>
    </row>
    <row r="158" customFormat="false" ht="15" hidden="false" customHeight="false" outlineLevel="0" collapsed="false">
      <c r="A158" s="19" t="str">
        <f aca="false">'Client-Product Master'!B24</f>
        <v>JINDAL STAINLESS LIMITED</v>
      </c>
      <c r="B158" s="19" t="str">
        <f aca="false">'Client-Product Master'!C24</f>
        <v>Crane Scale 60T &amp; 40 T - 1 No each</v>
      </c>
      <c r="C158" s="20" t="n">
        <f aca="false">'Client-Product Master'!E24</f>
        <v>0</v>
      </c>
      <c r="D158" s="8" t="n">
        <v>3</v>
      </c>
      <c r="E158" s="21" t="n">
        <f aca="false">INDEX('AMC &amp; Spares % Assumptions'!$B$5:$B$11, D158)</f>
        <v>0.045</v>
      </c>
      <c r="F158" s="22" t="n">
        <f aca="false">C158*E158</f>
        <v>0</v>
      </c>
      <c r="G158" s="21" t="n">
        <f aca="false">INDEX('AMC &amp; Spares % Assumptions'!$C$5:$C$11, D158)</f>
        <v>0.045</v>
      </c>
      <c r="H158" s="22" t="n">
        <f aca="false">C158*G158</f>
        <v>0</v>
      </c>
      <c r="I158" s="23" t="n">
        <f aca="false">F158+H158</f>
        <v>0</v>
      </c>
    </row>
    <row r="159" customFormat="false" ht="15" hidden="false" customHeight="false" outlineLevel="0" collapsed="false">
      <c r="A159" s="19" t="str">
        <f aca="false">'Client-Product Master'!B24</f>
        <v>JINDAL STAINLESS LIMITED</v>
      </c>
      <c r="B159" s="19" t="str">
        <f aca="false">'Client-Product Master'!C24</f>
        <v>Crane Scale 60T &amp; 40 T - 1 No each</v>
      </c>
      <c r="C159" s="20" t="n">
        <f aca="false">'Client-Product Master'!E24</f>
        <v>0</v>
      </c>
      <c r="D159" s="8" t="n">
        <v>4</v>
      </c>
      <c r="E159" s="21" t="n">
        <f aca="false">INDEX('AMC &amp; Spares % Assumptions'!$B$5:$B$11, D159)</f>
        <v>0.055</v>
      </c>
      <c r="F159" s="22" t="n">
        <f aca="false">C159*E159</f>
        <v>0</v>
      </c>
      <c r="G159" s="21" t="n">
        <f aca="false">INDEX('AMC &amp; Spares % Assumptions'!$C$5:$C$11, D159)</f>
        <v>0.06</v>
      </c>
      <c r="H159" s="22" t="n">
        <f aca="false">C159*G159</f>
        <v>0</v>
      </c>
      <c r="I159" s="23" t="n">
        <f aca="false">F159+H159</f>
        <v>0</v>
      </c>
    </row>
    <row r="160" customFormat="false" ht="15" hidden="false" customHeight="false" outlineLevel="0" collapsed="false">
      <c r="A160" s="19" t="str">
        <f aca="false">'Client-Product Master'!B24</f>
        <v>JINDAL STAINLESS LIMITED</v>
      </c>
      <c r="B160" s="19" t="str">
        <f aca="false">'Client-Product Master'!C24</f>
        <v>Crane Scale 60T &amp; 40 T - 1 No each</v>
      </c>
      <c r="C160" s="20" t="n">
        <f aca="false">'Client-Product Master'!E24</f>
        <v>0</v>
      </c>
      <c r="D160" s="8" t="n">
        <v>5</v>
      </c>
      <c r="E160" s="21" t="n">
        <f aca="false">INDEX('AMC &amp; Spares % Assumptions'!$B$5:$B$11, D160)</f>
        <v>0.06</v>
      </c>
      <c r="F160" s="22" t="n">
        <f aca="false">C160*E160</f>
        <v>0</v>
      </c>
      <c r="G160" s="21" t="n">
        <f aca="false">INDEX('AMC &amp; Spares % Assumptions'!$C$5:$C$11, D160)</f>
        <v>0.075</v>
      </c>
      <c r="H160" s="22" t="n">
        <f aca="false">C160*G160</f>
        <v>0</v>
      </c>
      <c r="I160" s="23" t="n">
        <f aca="false">F160+H160</f>
        <v>0</v>
      </c>
    </row>
    <row r="161" customFormat="false" ht="15" hidden="false" customHeight="false" outlineLevel="0" collapsed="false">
      <c r="A161" s="19" t="str">
        <f aca="false">'Client-Product Master'!B24</f>
        <v>JINDAL STAINLESS LIMITED</v>
      </c>
      <c r="B161" s="19" t="str">
        <f aca="false">'Client-Product Master'!C24</f>
        <v>Crane Scale 60T &amp; 40 T - 1 No each</v>
      </c>
      <c r="C161" s="20" t="n">
        <f aca="false">'Client-Product Master'!E24</f>
        <v>0</v>
      </c>
      <c r="D161" s="8" t="n">
        <v>6</v>
      </c>
      <c r="E161" s="21" t="n">
        <f aca="false">INDEX('AMC &amp; Spares % Assumptions'!$B$5:$B$11, D161)</f>
        <v>0.065</v>
      </c>
      <c r="F161" s="22" t="n">
        <f aca="false">C161*E161</f>
        <v>0</v>
      </c>
      <c r="G161" s="21" t="n">
        <f aca="false">INDEX('AMC &amp; Spares % Assumptions'!$C$5:$C$11, D161)</f>
        <v>0.085</v>
      </c>
      <c r="H161" s="22" t="n">
        <f aca="false">C161*G161</f>
        <v>0</v>
      </c>
      <c r="I161" s="23" t="n">
        <f aca="false">F161+H161</f>
        <v>0</v>
      </c>
    </row>
    <row r="162" customFormat="false" ht="15" hidden="false" customHeight="false" outlineLevel="0" collapsed="false">
      <c r="A162" s="19" t="str">
        <f aca="false">'Client-Product Master'!B24</f>
        <v>JINDAL STAINLESS LIMITED</v>
      </c>
      <c r="B162" s="19" t="str">
        <f aca="false">'Client-Product Master'!C24</f>
        <v>Crane Scale 60T &amp; 40 T - 1 No each</v>
      </c>
      <c r="C162" s="20" t="n">
        <f aca="false">'Client-Product Master'!E24</f>
        <v>0</v>
      </c>
      <c r="D162" s="8" t="n">
        <v>7</v>
      </c>
      <c r="E162" s="21" t="n">
        <f aca="false">INDEX('AMC &amp; Spares % Assumptions'!$B$5:$B$11, D162)</f>
        <v>0.07</v>
      </c>
      <c r="F162" s="22" t="n">
        <f aca="false">C162*E162</f>
        <v>0</v>
      </c>
      <c r="G162" s="21" t="n">
        <f aca="false">INDEX('AMC &amp; Spares % Assumptions'!$C$5:$C$11, D162)</f>
        <v>0.095</v>
      </c>
      <c r="H162" s="22" t="n">
        <f aca="false">C162*G162</f>
        <v>0</v>
      </c>
      <c r="I162" s="23" t="n">
        <f aca="false">F162+H162</f>
        <v>0</v>
      </c>
    </row>
    <row r="163" customFormat="false" ht="15" hidden="false" customHeight="false" outlineLevel="0" collapsed="false">
      <c r="A163" s="19" t="str">
        <f aca="false">'Client-Product Master'!B25</f>
        <v>Tata Steel Ltd</v>
      </c>
      <c r="B163" s="19" t="str">
        <f aca="false">'Client-Product Master'!C25</f>
        <v>Pitless Road Weigh Bridge</v>
      </c>
      <c r="C163" s="20" t="n">
        <f aca="false">'Client-Product Master'!E25</f>
        <v>0</v>
      </c>
      <c r="D163" s="8" t="n">
        <v>1</v>
      </c>
      <c r="E163" s="21" t="n">
        <f aca="false">INDEX('AMC &amp; Spares % Assumptions'!$B$5:$B$11, D163)</f>
        <v>0.015</v>
      </c>
      <c r="F163" s="22" t="n">
        <f aca="false">C163*E163</f>
        <v>0</v>
      </c>
      <c r="G163" s="21" t="n">
        <f aca="false">INDEX('AMC &amp; Spares % Assumptions'!$C$5:$C$11, D163)</f>
        <v>0.01</v>
      </c>
      <c r="H163" s="22" t="n">
        <f aca="false">C163*G163</f>
        <v>0</v>
      </c>
      <c r="I163" s="23" t="n">
        <f aca="false">F163+H163</f>
        <v>0</v>
      </c>
    </row>
    <row r="164" customFormat="false" ht="15" hidden="false" customHeight="false" outlineLevel="0" collapsed="false">
      <c r="A164" s="19" t="str">
        <f aca="false">'Client-Product Master'!B25</f>
        <v>Tata Steel Ltd</v>
      </c>
      <c r="B164" s="19" t="str">
        <f aca="false">'Client-Product Master'!C25</f>
        <v>Pitless Road Weigh Bridge</v>
      </c>
      <c r="C164" s="20" t="n">
        <f aca="false">'Client-Product Master'!E25</f>
        <v>0</v>
      </c>
      <c r="D164" s="8" t="n">
        <v>2</v>
      </c>
      <c r="E164" s="21" t="n">
        <f aca="false">INDEX('AMC &amp; Spares % Assumptions'!$B$5:$B$11, D164)</f>
        <v>0.03</v>
      </c>
      <c r="F164" s="22" t="n">
        <f aca="false">C164*E164</f>
        <v>0</v>
      </c>
      <c r="G164" s="21" t="n">
        <f aca="false">INDEX('AMC &amp; Spares % Assumptions'!$C$5:$C$11, D164)</f>
        <v>0.025</v>
      </c>
      <c r="H164" s="22" t="n">
        <f aca="false">C164*G164</f>
        <v>0</v>
      </c>
      <c r="I164" s="23" t="n">
        <f aca="false">F164+H164</f>
        <v>0</v>
      </c>
    </row>
    <row r="165" customFormat="false" ht="15" hidden="false" customHeight="false" outlineLevel="0" collapsed="false">
      <c r="A165" s="19" t="str">
        <f aca="false">'Client-Product Master'!B25</f>
        <v>Tata Steel Ltd</v>
      </c>
      <c r="B165" s="19" t="str">
        <f aca="false">'Client-Product Master'!C25</f>
        <v>Pitless Road Weigh Bridge</v>
      </c>
      <c r="C165" s="20" t="n">
        <f aca="false">'Client-Product Master'!E25</f>
        <v>0</v>
      </c>
      <c r="D165" s="8" t="n">
        <v>3</v>
      </c>
      <c r="E165" s="21" t="n">
        <f aca="false">INDEX('AMC &amp; Spares % Assumptions'!$B$5:$B$11, D165)</f>
        <v>0.045</v>
      </c>
      <c r="F165" s="22" t="n">
        <f aca="false">C165*E165</f>
        <v>0</v>
      </c>
      <c r="G165" s="21" t="n">
        <f aca="false">INDEX('AMC &amp; Spares % Assumptions'!$C$5:$C$11, D165)</f>
        <v>0.045</v>
      </c>
      <c r="H165" s="22" t="n">
        <f aca="false">C165*G165</f>
        <v>0</v>
      </c>
      <c r="I165" s="23" t="n">
        <f aca="false">F165+H165</f>
        <v>0</v>
      </c>
    </row>
    <row r="166" customFormat="false" ht="15" hidden="false" customHeight="false" outlineLevel="0" collapsed="false">
      <c r="A166" s="19" t="str">
        <f aca="false">'Client-Product Master'!B25</f>
        <v>Tata Steel Ltd</v>
      </c>
      <c r="B166" s="19" t="str">
        <f aca="false">'Client-Product Master'!C25</f>
        <v>Pitless Road Weigh Bridge</v>
      </c>
      <c r="C166" s="20" t="n">
        <f aca="false">'Client-Product Master'!E25</f>
        <v>0</v>
      </c>
      <c r="D166" s="8" t="n">
        <v>4</v>
      </c>
      <c r="E166" s="21" t="n">
        <f aca="false">INDEX('AMC &amp; Spares % Assumptions'!$B$5:$B$11, D166)</f>
        <v>0.055</v>
      </c>
      <c r="F166" s="22" t="n">
        <f aca="false">C166*E166</f>
        <v>0</v>
      </c>
      <c r="G166" s="21" t="n">
        <f aca="false">INDEX('AMC &amp; Spares % Assumptions'!$C$5:$C$11, D166)</f>
        <v>0.06</v>
      </c>
      <c r="H166" s="22" t="n">
        <f aca="false">C166*G166</f>
        <v>0</v>
      </c>
      <c r="I166" s="23" t="n">
        <f aca="false">F166+H166</f>
        <v>0</v>
      </c>
    </row>
    <row r="167" customFormat="false" ht="15" hidden="false" customHeight="false" outlineLevel="0" collapsed="false">
      <c r="A167" s="19" t="str">
        <f aca="false">'Client-Product Master'!B25</f>
        <v>Tata Steel Ltd</v>
      </c>
      <c r="B167" s="19" t="str">
        <f aca="false">'Client-Product Master'!C25</f>
        <v>Pitless Road Weigh Bridge</v>
      </c>
      <c r="C167" s="20" t="n">
        <f aca="false">'Client-Product Master'!E25</f>
        <v>0</v>
      </c>
      <c r="D167" s="8" t="n">
        <v>5</v>
      </c>
      <c r="E167" s="21" t="n">
        <f aca="false">INDEX('AMC &amp; Spares % Assumptions'!$B$5:$B$11, D167)</f>
        <v>0.06</v>
      </c>
      <c r="F167" s="22" t="n">
        <f aca="false">C167*E167</f>
        <v>0</v>
      </c>
      <c r="G167" s="21" t="n">
        <f aca="false">INDEX('AMC &amp; Spares % Assumptions'!$C$5:$C$11, D167)</f>
        <v>0.075</v>
      </c>
      <c r="H167" s="22" t="n">
        <f aca="false">C167*G167</f>
        <v>0</v>
      </c>
      <c r="I167" s="23" t="n">
        <f aca="false">F167+H167</f>
        <v>0</v>
      </c>
    </row>
    <row r="168" customFormat="false" ht="15" hidden="false" customHeight="false" outlineLevel="0" collapsed="false">
      <c r="A168" s="19" t="str">
        <f aca="false">'Client-Product Master'!B25</f>
        <v>Tata Steel Ltd</v>
      </c>
      <c r="B168" s="19" t="str">
        <f aca="false">'Client-Product Master'!C25</f>
        <v>Pitless Road Weigh Bridge</v>
      </c>
      <c r="C168" s="20" t="n">
        <f aca="false">'Client-Product Master'!E25</f>
        <v>0</v>
      </c>
      <c r="D168" s="8" t="n">
        <v>6</v>
      </c>
      <c r="E168" s="21" t="n">
        <f aca="false">INDEX('AMC &amp; Spares % Assumptions'!$B$5:$B$11, D168)</f>
        <v>0.065</v>
      </c>
      <c r="F168" s="22" t="n">
        <f aca="false">C168*E168</f>
        <v>0</v>
      </c>
      <c r="G168" s="21" t="n">
        <f aca="false">INDEX('AMC &amp; Spares % Assumptions'!$C$5:$C$11, D168)</f>
        <v>0.085</v>
      </c>
      <c r="H168" s="22" t="n">
        <f aca="false">C168*G168</f>
        <v>0</v>
      </c>
      <c r="I168" s="23" t="n">
        <f aca="false">F168+H168</f>
        <v>0</v>
      </c>
    </row>
    <row r="169" customFormat="false" ht="15" hidden="false" customHeight="false" outlineLevel="0" collapsed="false">
      <c r="A169" s="19" t="str">
        <f aca="false">'Client-Product Master'!B25</f>
        <v>Tata Steel Ltd</v>
      </c>
      <c r="B169" s="19" t="str">
        <f aca="false">'Client-Product Master'!C25</f>
        <v>Pitless Road Weigh Bridge</v>
      </c>
      <c r="C169" s="20" t="n">
        <f aca="false">'Client-Product Master'!E25</f>
        <v>0</v>
      </c>
      <c r="D169" s="8" t="n">
        <v>7</v>
      </c>
      <c r="E169" s="21" t="n">
        <f aca="false">INDEX('AMC &amp; Spares % Assumptions'!$B$5:$B$11, D169)</f>
        <v>0.07</v>
      </c>
      <c r="F169" s="22" t="n">
        <f aca="false">C169*E169</f>
        <v>0</v>
      </c>
      <c r="G169" s="21" t="n">
        <f aca="false">INDEX('AMC &amp; Spares % Assumptions'!$C$5:$C$11, D169)</f>
        <v>0.095</v>
      </c>
      <c r="H169" s="22" t="n">
        <f aca="false">C169*G169</f>
        <v>0</v>
      </c>
      <c r="I169" s="23" t="n">
        <f aca="false">F169+H169</f>
        <v>0</v>
      </c>
    </row>
    <row r="170" customFormat="false" ht="15" hidden="false" customHeight="false" outlineLevel="0" collapsed="false">
      <c r="A170" s="19" t="str">
        <f aca="false">'Client-Product Master'!B26</f>
        <v>Ultratech Maihar Cement</v>
      </c>
      <c r="B170" s="19" t="str">
        <f aca="false">'Client-Product Master'!C26</f>
        <v>Spare</v>
      </c>
      <c r="C170" s="20" t="n">
        <f aca="false">'Client-Product Master'!E26</f>
        <v>0</v>
      </c>
      <c r="D170" s="8" t="n">
        <v>1</v>
      </c>
      <c r="E170" s="21" t="n">
        <f aca="false">INDEX('AMC &amp; Spares % Assumptions'!$B$5:$B$11, D170)</f>
        <v>0.015</v>
      </c>
      <c r="F170" s="22" t="n">
        <f aca="false">C170*E170</f>
        <v>0</v>
      </c>
      <c r="G170" s="21" t="n">
        <f aca="false">INDEX('AMC &amp; Spares % Assumptions'!$C$5:$C$11, D170)</f>
        <v>0.01</v>
      </c>
      <c r="H170" s="22" t="n">
        <f aca="false">C170*G170</f>
        <v>0</v>
      </c>
      <c r="I170" s="23" t="n">
        <f aca="false">F170+H170</f>
        <v>0</v>
      </c>
    </row>
    <row r="171" customFormat="false" ht="15" hidden="false" customHeight="false" outlineLevel="0" collapsed="false">
      <c r="A171" s="19" t="str">
        <f aca="false">'Client-Product Master'!B26</f>
        <v>Ultratech Maihar Cement</v>
      </c>
      <c r="B171" s="19" t="str">
        <f aca="false">'Client-Product Master'!C26</f>
        <v>Spare</v>
      </c>
      <c r="C171" s="20" t="n">
        <f aca="false">'Client-Product Master'!E26</f>
        <v>0</v>
      </c>
      <c r="D171" s="8" t="n">
        <v>2</v>
      </c>
      <c r="E171" s="21" t="n">
        <f aca="false">INDEX('AMC &amp; Spares % Assumptions'!$B$5:$B$11, D171)</f>
        <v>0.03</v>
      </c>
      <c r="F171" s="22" t="n">
        <f aca="false">C171*E171</f>
        <v>0</v>
      </c>
      <c r="G171" s="21" t="n">
        <f aca="false">INDEX('AMC &amp; Spares % Assumptions'!$C$5:$C$11, D171)</f>
        <v>0.025</v>
      </c>
      <c r="H171" s="22" t="n">
        <f aca="false">C171*G171</f>
        <v>0</v>
      </c>
      <c r="I171" s="23" t="n">
        <f aca="false">F171+H171</f>
        <v>0</v>
      </c>
    </row>
    <row r="172" customFormat="false" ht="15" hidden="false" customHeight="false" outlineLevel="0" collapsed="false">
      <c r="A172" s="19" t="str">
        <f aca="false">'Client-Product Master'!B26</f>
        <v>Ultratech Maihar Cement</v>
      </c>
      <c r="B172" s="19" t="str">
        <f aca="false">'Client-Product Master'!C26</f>
        <v>Spare</v>
      </c>
      <c r="C172" s="20" t="n">
        <f aca="false">'Client-Product Master'!E26</f>
        <v>0</v>
      </c>
      <c r="D172" s="8" t="n">
        <v>3</v>
      </c>
      <c r="E172" s="21" t="n">
        <f aca="false">INDEX('AMC &amp; Spares % Assumptions'!$B$5:$B$11, D172)</f>
        <v>0.045</v>
      </c>
      <c r="F172" s="22" t="n">
        <f aca="false">C172*E172</f>
        <v>0</v>
      </c>
      <c r="G172" s="21" t="n">
        <f aca="false">INDEX('AMC &amp; Spares % Assumptions'!$C$5:$C$11, D172)</f>
        <v>0.045</v>
      </c>
      <c r="H172" s="22" t="n">
        <f aca="false">C172*G172</f>
        <v>0</v>
      </c>
      <c r="I172" s="23" t="n">
        <f aca="false">F172+H172</f>
        <v>0</v>
      </c>
    </row>
    <row r="173" customFormat="false" ht="15" hidden="false" customHeight="false" outlineLevel="0" collapsed="false">
      <c r="A173" s="19" t="str">
        <f aca="false">'Client-Product Master'!B26</f>
        <v>Ultratech Maihar Cement</v>
      </c>
      <c r="B173" s="19" t="str">
        <f aca="false">'Client-Product Master'!C26</f>
        <v>Spare</v>
      </c>
      <c r="C173" s="20" t="n">
        <f aca="false">'Client-Product Master'!E26</f>
        <v>0</v>
      </c>
      <c r="D173" s="8" t="n">
        <v>4</v>
      </c>
      <c r="E173" s="21" t="n">
        <f aca="false">INDEX('AMC &amp; Spares % Assumptions'!$B$5:$B$11, D173)</f>
        <v>0.055</v>
      </c>
      <c r="F173" s="22" t="n">
        <f aca="false">C173*E173</f>
        <v>0</v>
      </c>
      <c r="G173" s="21" t="n">
        <f aca="false">INDEX('AMC &amp; Spares % Assumptions'!$C$5:$C$11, D173)</f>
        <v>0.06</v>
      </c>
      <c r="H173" s="22" t="n">
        <f aca="false">C173*G173</f>
        <v>0</v>
      </c>
      <c r="I173" s="23" t="n">
        <f aca="false">F173+H173</f>
        <v>0</v>
      </c>
    </row>
    <row r="174" customFormat="false" ht="15" hidden="false" customHeight="false" outlineLevel="0" collapsed="false">
      <c r="A174" s="19" t="str">
        <f aca="false">'Client-Product Master'!B26</f>
        <v>Ultratech Maihar Cement</v>
      </c>
      <c r="B174" s="19" t="str">
        <f aca="false">'Client-Product Master'!C26</f>
        <v>Spare</v>
      </c>
      <c r="C174" s="20" t="n">
        <f aca="false">'Client-Product Master'!E26</f>
        <v>0</v>
      </c>
      <c r="D174" s="8" t="n">
        <v>5</v>
      </c>
      <c r="E174" s="21" t="n">
        <f aca="false">INDEX('AMC &amp; Spares % Assumptions'!$B$5:$B$11, D174)</f>
        <v>0.06</v>
      </c>
      <c r="F174" s="22" t="n">
        <f aca="false">C174*E174</f>
        <v>0</v>
      </c>
      <c r="G174" s="21" t="n">
        <f aca="false">INDEX('AMC &amp; Spares % Assumptions'!$C$5:$C$11, D174)</f>
        <v>0.075</v>
      </c>
      <c r="H174" s="22" t="n">
        <f aca="false">C174*G174</f>
        <v>0</v>
      </c>
      <c r="I174" s="23" t="n">
        <f aca="false">F174+H174</f>
        <v>0</v>
      </c>
    </row>
    <row r="175" customFormat="false" ht="15" hidden="false" customHeight="false" outlineLevel="0" collapsed="false">
      <c r="A175" s="19" t="str">
        <f aca="false">'Client-Product Master'!B26</f>
        <v>Ultratech Maihar Cement</v>
      </c>
      <c r="B175" s="19" t="str">
        <f aca="false">'Client-Product Master'!C26</f>
        <v>Spare</v>
      </c>
      <c r="C175" s="20" t="n">
        <f aca="false">'Client-Product Master'!E26</f>
        <v>0</v>
      </c>
      <c r="D175" s="8" t="n">
        <v>6</v>
      </c>
      <c r="E175" s="21" t="n">
        <f aca="false">INDEX('AMC &amp; Spares % Assumptions'!$B$5:$B$11, D175)</f>
        <v>0.065</v>
      </c>
      <c r="F175" s="22" t="n">
        <f aca="false">C175*E175</f>
        <v>0</v>
      </c>
      <c r="G175" s="21" t="n">
        <f aca="false">INDEX('AMC &amp; Spares % Assumptions'!$C$5:$C$11, D175)</f>
        <v>0.085</v>
      </c>
      <c r="H175" s="22" t="n">
        <f aca="false">C175*G175</f>
        <v>0</v>
      </c>
      <c r="I175" s="23" t="n">
        <f aca="false">F175+H175</f>
        <v>0</v>
      </c>
    </row>
    <row r="176" customFormat="false" ht="15" hidden="false" customHeight="false" outlineLevel="0" collapsed="false">
      <c r="A176" s="19" t="str">
        <f aca="false">'Client-Product Master'!B26</f>
        <v>Ultratech Maihar Cement</v>
      </c>
      <c r="B176" s="19" t="str">
        <f aca="false">'Client-Product Master'!C26</f>
        <v>Spare</v>
      </c>
      <c r="C176" s="20" t="n">
        <f aca="false">'Client-Product Master'!E26</f>
        <v>0</v>
      </c>
      <c r="D176" s="8" t="n">
        <v>7</v>
      </c>
      <c r="E176" s="21" t="n">
        <f aca="false">INDEX('AMC &amp; Spares % Assumptions'!$B$5:$B$11, D176)</f>
        <v>0.07</v>
      </c>
      <c r="F176" s="22" t="n">
        <f aca="false">C176*E176</f>
        <v>0</v>
      </c>
      <c r="G176" s="21" t="n">
        <f aca="false">INDEX('AMC &amp; Spares % Assumptions'!$C$5:$C$11, D176)</f>
        <v>0.095</v>
      </c>
      <c r="H176" s="22" t="n">
        <f aca="false">C176*G176</f>
        <v>0</v>
      </c>
      <c r="I176" s="23" t="n">
        <f aca="false">F176+H176</f>
        <v>0</v>
      </c>
    </row>
    <row r="177" customFormat="false" ht="15" hidden="false" customHeight="false" outlineLevel="0" collapsed="false">
      <c r="A177" s="19" t="str">
        <f aca="false">'Client-Product Master'!B27</f>
        <v>Bhushan Power &amp; Steel Ltd</v>
      </c>
      <c r="B177" s="19" t="str">
        <f aca="false">'Client-Product Master'!C27</f>
        <v>Ladle Weigh bridge</v>
      </c>
      <c r="C177" s="20" t="n">
        <f aca="false">'Client-Product Master'!E27</f>
        <v>0</v>
      </c>
      <c r="D177" s="8" t="n">
        <v>1</v>
      </c>
      <c r="E177" s="21" t="n">
        <f aca="false">INDEX('AMC &amp; Spares % Assumptions'!$B$5:$B$11, D177)</f>
        <v>0.015</v>
      </c>
      <c r="F177" s="22" t="n">
        <f aca="false">C177*E177</f>
        <v>0</v>
      </c>
      <c r="G177" s="21" t="n">
        <f aca="false">INDEX('AMC &amp; Spares % Assumptions'!$C$5:$C$11, D177)</f>
        <v>0.01</v>
      </c>
      <c r="H177" s="22" t="n">
        <f aca="false">C177*G177</f>
        <v>0</v>
      </c>
      <c r="I177" s="23" t="n">
        <f aca="false">F177+H177</f>
        <v>0</v>
      </c>
    </row>
    <row r="178" customFormat="false" ht="15" hidden="false" customHeight="false" outlineLevel="0" collapsed="false">
      <c r="A178" s="19" t="str">
        <f aca="false">'Client-Product Master'!B27</f>
        <v>Bhushan Power &amp; Steel Ltd</v>
      </c>
      <c r="B178" s="19" t="str">
        <f aca="false">'Client-Product Master'!C27</f>
        <v>Ladle Weigh bridge</v>
      </c>
      <c r="C178" s="20" t="n">
        <f aca="false">'Client-Product Master'!E27</f>
        <v>0</v>
      </c>
      <c r="D178" s="8" t="n">
        <v>2</v>
      </c>
      <c r="E178" s="21" t="n">
        <f aca="false">INDEX('AMC &amp; Spares % Assumptions'!$B$5:$B$11, D178)</f>
        <v>0.03</v>
      </c>
      <c r="F178" s="22" t="n">
        <f aca="false">C178*E178</f>
        <v>0</v>
      </c>
      <c r="G178" s="21" t="n">
        <f aca="false">INDEX('AMC &amp; Spares % Assumptions'!$C$5:$C$11, D178)</f>
        <v>0.025</v>
      </c>
      <c r="H178" s="22" t="n">
        <f aca="false">C178*G178</f>
        <v>0</v>
      </c>
      <c r="I178" s="23" t="n">
        <f aca="false">F178+H178</f>
        <v>0</v>
      </c>
    </row>
    <row r="179" customFormat="false" ht="15" hidden="false" customHeight="false" outlineLevel="0" collapsed="false">
      <c r="A179" s="19" t="str">
        <f aca="false">'Client-Product Master'!B27</f>
        <v>Bhushan Power &amp; Steel Ltd</v>
      </c>
      <c r="B179" s="19" t="str">
        <f aca="false">'Client-Product Master'!C27</f>
        <v>Ladle Weigh bridge</v>
      </c>
      <c r="C179" s="20" t="n">
        <f aca="false">'Client-Product Master'!E27</f>
        <v>0</v>
      </c>
      <c r="D179" s="8" t="n">
        <v>3</v>
      </c>
      <c r="E179" s="21" t="n">
        <f aca="false">INDEX('AMC &amp; Spares % Assumptions'!$B$5:$B$11, D179)</f>
        <v>0.045</v>
      </c>
      <c r="F179" s="22" t="n">
        <f aca="false">C179*E179</f>
        <v>0</v>
      </c>
      <c r="G179" s="21" t="n">
        <f aca="false">INDEX('AMC &amp; Spares % Assumptions'!$C$5:$C$11, D179)</f>
        <v>0.045</v>
      </c>
      <c r="H179" s="22" t="n">
        <f aca="false">C179*G179</f>
        <v>0</v>
      </c>
      <c r="I179" s="23" t="n">
        <f aca="false">F179+H179</f>
        <v>0</v>
      </c>
    </row>
    <row r="180" customFormat="false" ht="15" hidden="false" customHeight="false" outlineLevel="0" collapsed="false">
      <c r="A180" s="19" t="str">
        <f aca="false">'Client-Product Master'!B27</f>
        <v>Bhushan Power &amp; Steel Ltd</v>
      </c>
      <c r="B180" s="19" t="str">
        <f aca="false">'Client-Product Master'!C27</f>
        <v>Ladle Weigh bridge</v>
      </c>
      <c r="C180" s="20" t="n">
        <f aca="false">'Client-Product Master'!E27</f>
        <v>0</v>
      </c>
      <c r="D180" s="8" t="n">
        <v>4</v>
      </c>
      <c r="E180" s="21" t="n">
        <f aca="false">INDEX('AMC &amp; Spares % Assumptions'!$B$5:$B$11, D180)</f>
        <v>0.055</v>
      </c>
      <c r="F180" s="22" t="n">
        <f aca="false">C180*E180</f>
        <v>0</v>
      </c>
      <c r="G180" s="21" t="n">
        <f aca="false">INDEX('AMC &amp; Spares % Assumptions'!$C$5:$C$11, D180)</f>
        <v>0.06</v>
      </c>
      <c r="H180" s="22" t="n">
        <f aca="false">C180*G180</f>
        <v>0</v>
      </c>
      <c r="I180" s="23" t="n">
        <f aca="false">F180+H180</f>
        <v>0</v>
      </c>
    </row>
    <row r="181" customFormat="false" ht="15" hidden="false" customHeight="false" outlineLevel="0" collapsed="false">
      <c r="A181" s="19" t="str">
        <f aca="false">'Client-Product Master'!B27</f>
        <v>Bhushan Power &amp; Steel Ltd</v>
      </c>
      <c r="B181" s="19" t="str">
        <f aca="false">'Client-Product Master'!C27</f>
        <v>Ladle Weigh bridge</v>
      </c>
      <c r="C181" s="20" t="n">
        <f aca="false">'Client-Product Master'!E27</f>
        <v>0</v>
      </c>
      <c r="D181" s="8" t="n">
        <v>5</v>
      </c>
      <c r="E181" s="21" t="n">
        <f aca="false">INDEX('AMC &amp; Spares % Assumptions'!$B$5:$B$11, D181)</f>
        <v>0.06</v>
      </c>
      <c r="F181" s="22" t="n">
        <f aca="false">C181*E181</f>
        <v>0</v>
      </c>
      <c r="G181" s="21" t="n">
        <f aca="false">INDEX('AMC &amp; Spares % Assumptions'!$C$5:$C$11, D181)</f>
        <v>0.075</v>
      </c>
      <c r="H181" s="22" t="n">
        <f aca="false">C181*G181</f>
        <v>0</v>
      </c>
      <c r="I181" s="23" t="n">
        <f aca="false">F181+H181</f>
        <v>0</v>
      </c>
    </row>
    <row r="182" customFormat="false" ht="15" hidden="false" customHeight="false" outlineLevel="0" collapsed="false">
      <c r="A182" s="19" t="str">
        <f aca="false">'Client-Product Master'!B27</f>
        <v>Bhushan Power &amp; Steel Ltd</v>
      </c>
      <c r="B182" s="19" t="str">
        <f aca="false">'Client-Product Master'!C27</f>
        <v>Ladle Weigh bridge</v>
      </c>
      <c r="C182" s="20" t="n">
        <f aca="false">'Client-Product Master'!E27</f>
        <v>0</v>
      </c>
      <c r="D182" s="8" t="n">
        <v>6</v>
      </c>
      <c r="E182" s="21" t="n">
        <f aca="false">INDEX('AMC &amp; Spares % Assumptions'!$B$5:$B$11, D182)</f>
        <v>0.065</v>
      </c>
      <c r="F182" s="22" t="n">
        <f aca="false">C182*E182</f>
        <v>0</v>
      </c>
      <c r="G182" s="21" t="n">
        <f aca="false">INDEX('AMC &amp; Spares % Assumptions'!$C$5:$C$11, D182)</f>
        <v>0.085</v>
      </c>
      <c r="H182" s="22" t="n">
        <f aca="false">C182*G182</f>
        <v>0</v>
      </c>
      <c r="I182" s="23" t="n">
        <f aca="false">F182+H182</f>
        <v>0</v>
      </c>
    </row>
    <row r="183" customFormat="false" ht="15" hidden="false" customHeight="false" outlineLevel="0" collapsed="false">
      <c r="A183" s="19" t="str">
        <f aca="false">'Client-Product Master'!B27</f>
        <v>Bhushan Power &amp; Steel Ltd</v>
      </c>
      <c r="B183" s="19" t="str">
        <f aca="false">'Client-Product Master'!C27</f>
        <v>Ladle Weigh bridge</v>
      </c>
      <c r="C183" s="20" t="n">
        <f aca="false">'Client-Product Master'!E27</f>
        <v>0</v>
      </c>
      <c r="D183" s="8" t="n">
        <v>7</v>
      </c>
      <c r="E183" s="21" t="n">
        <f aca="false">INDEX('AMC &amp; Spares % Assumptions'!$B$5:$B$11, D183)</f>
        <v>0.07</v>
      </c>
      <c r="F183" s="22" t="n">
        <f aca="false">C183*E183</f>
        <v>0</v>
      </c>
      <c r="G183" s="21" t="n">
        <f aca="false">INDEX('AMC &amp; Spares % Assumptions'!$C$5:$C$11, D183)</f>
        <v>0.095</v>
      </c>
      <c r="H183" s="22" t="n">
        <f aca="false">C183*G183</f>
        <v>0</v>
      </c>
      <c r="I183" s="23" t="n">
        <f aca="false">F183+H183</f>
        <v>0</v>
      </c>
    </row>
    <row r="184" customFormat="false" ht="15" hidden="false" customHeight="false" outlineLevel="0" collapsed="false">
      <c r="A184" s="19" t="str">
        <f aca="false">'Client-Product Master'!B28</f>
        <v>Bhilai Steel plant</v>
      </c>
      <c r="B184" s="19" t="str">
        <f aca="false">'Client-Product Master'!C28</f>
        <v>Bloom Weighig System</v>
      </c>
      <c r="C184" s="20" t="n">
        <f aca="false">'Client-Product Master'!E28</f>
        <v>0</v>
      </c>
      <c r="D184" s="8" t="n">
        <v>1</v>
      </c>
      <c r="E184" s="21" t="n">
        <f aca="false">INDEX('AMC &amp; Spares % Assumptions'!$B$5:$B$11, D184)</f>
        <v>0.015</v>
      </c>
      <c r="F184" s="22" t="n">
        <f aca="false">C184*E184</f>
        <v>0</v>
      </c>
      <c r="G184" s="21" t="n">
        <f aca="false">INDEX('AMC &amp; Spares % Assumptions'!$C$5:$C$11, D184)</f>
        <v>0.01</v>
      </c>
      <c r="H184" s="22" t="n">
        <f aca="false">C184*G184</f>
        <v>0</v>
      </c>
      <c r="I184" s="23" t="n">
        <f aca="false">F184+H184</f>
        <v>0</v>
      </c>
    </row>
    <row r="185" customFormat="false" ht="15" hidden="false" customHeight="false" outlineLevel="0" collapsed="false">
      <c r="A185" s="19" t="str">
        <f aca="false">'Client-Product Master'!B28</f>
        <v>Bhilai Steel plant</v>
      </c>
      <c r="B185" s="19" t="str">
        <f aca="false">'Client-Product Master'!C28</f>
        <v>Bloom Weighig System</v>
      </c>
      <c r="C185" s="20" t="n">
        <f aca="false">'Client-Product Master'!E28</f>
        <v>0</v>
      </c>
      <c r="D185" s="8" t="n">
        <v>2</v>
      </c>
      <c r="E185" s="21" t="n">
        <f aca="false">INDEX('AMC &amp; Spares % Assumptions'!$B$5:$B$11, D185)</f>
        <v>0.03</v>
      </c>
      <c r="F185" s="22" t="n">
        <f aca="false">C185*E185</f>
        <v>0</v>
      </c>
      <c r="G185" s="21" t="n">
        <f aca="false">INDEX('AMC &amp; Spares % Assumptions'!$C$5:$C$11, D185)</f>
        <v>0.025</v>
      </c>
      <c r="H185" s="22" t="n">
        <f aca="false">C185*G185</f>
        <v>0</v>
      </c>
      <c r="I185" s="23" t="n">
        <f aca="false">F185+H185</f>
        <v>0</v>
      </c>
    </row>
    <row r="186" customFormat="false" ht="15" hidden="false" customHeight="false" outlineLevel="0" collapsed="false">
      <c r="A186" s="19" t="str">
        <f aca="false">'Client-Product Master'!B28</f>
        <v>Bhilai Steel plant</v>
      </c>
      <c r="B186" s="19" t="str">
        <f aca="false">'Client-Product Master'!C28</f>
        <v>Bloom Weighig System</v>
      </c>
      <c r="C186" s="20" t="n">
        <f aca="false">'Client-Product Master'!E28</f>
        <v>0</v>
      </c>
      <c r="D186" s="8" t="n">
        <v>3</v>
      </c>
      <c r="E186" s="21" t="n">
        <f aca="false">INDEX('AMC &amp; Spares % Assumptions'!$B$5:$B$11, D186)</f>
        <v>0.045</v>
      </c>
      <c r="F186" s="22" t="n">
        <f aca="false">C186*E186</f>
        <v>0</v>
      </c>
      <c r="G186" s="21" t="n">
        <f aca="false">INDEX('AMC &amp; Spares % Assumptions'!$C$5:$C$11, D186)</f>
        <v>0.045</v>
      </c>
      <c r="H186" s="22" t="n">
        <f aca="false">C186*G186</f>
        <v>0</v>
      </c>
      <c r="I186" s="23" t="n">
        <f aca="false">F186+H186</f>
        <v>0</v>
      </c>
    </row>
    <row r="187" customFormat="false" ht="15" hidden="false" customHeight="false" outlineLevel="0" collapsed="false">
      <c r="A187" s="19" t="str">
        <f aca="false">'Client-Product Master'!B28</f>
        <v>Bhilai Steel plant</v>
      </c>
      <c r="B187" s="19" t="str">
        <f aca="false">'Client-Product Master'!C28</f>
        <v>Bloom Weighig System</v>
      </c>
      <c r="C187" s="20" t="n">
        <f aca="false">'Client-Product Master'!E28</f>
        <v>0</v>
      </c>
      <c r="D187" s="8" t="n">
        <v>4</v>
      </c>
      <c r="E187" s="21" t="n">
        <f aca="false">INDEX('AMC &amp; Spares % Assumptions'!$B$5:$B$11, D187)</f>
        <v>0.055</v>
      </c>
      <c r="F187" s="22" t="n">
        <f aca="false">C187*E187</f>
        <v>0</v>
      </c>
      <c r="G187" s="21" t="n">
        <f aca="false">INDEX('AMC &amp; Spares % Assumptions'!$C$5:$C$11, D187)</f>
        <v>0.06</v>
      </c>
      <c r="H187" s="22" t="n">
        <f aca="false">C187*G187</f>
        <v>0</v>
      </c>
      <c r="I187" s="23" t="n">
        <f aca="false">F187+H187</f>
        <v>0</v>
      </c>
    </row>
    <row r="188" customFormat="false" ht="15" hidden="false" customHeight="false" outlineLevel="0" collapsed="false">
      <c r="A188" s="19" t="str">
        <f aca="false">'Client-Product Master'!B28</f>
        <v>Bhilai Steel plant</v>
      </c>
      <c r="B188" s="19" t="str">
        <f aca="false">'Client-Product Master'!C28</f>
        <v>Bloom Weighig System</v>
      </c>
      <c r="C188" s="20" t="n">
        <f aca="false">'Client-Product Master'!E28</f>
        <v>0</v>
      </c>
      <c r="D188" s="8" t="n">
        <v>5</v>
      </c>
      <c r="E188" s="21" t="n">
        <f aca="false">INDEX('AMC &amp; Spares % Assumptions'!$B$5:$B$11, D188)</f>
        <v>0.06</v>
      </c>
      <c r="F188" s="22" t="n">
        <f aca="false">C188*E188</f>
        <v>0</v>
      </c>
      <c r="G188" s="21" t="n">
        <f aca="false">INDEX('AMC &amp; Spares % Assumptions'!$C$5:$C$11, D188)</f>
        <v>0.075</v>
      </c>
      <c r="H188" s="22" t="n">
        <f aca="false">C188*G188</f>
        <v>0</v>
      </c>
      <c r="I188" s="23" t="n">
        <f aca="false">F188+H188</f>
        <v>0</v>
      </c>
    </row>
    <row r="189" customFormat="false" ht="15" hidden="false" customHeight="false" outlineLevel="0" collapsed="false">
      <c r="A189" s="19" t="str">
        <f aca="false">'Client-Product Master'!B28</f>
        <v>Bhilai Steel plant</v>
      </c>
      <c r="B189" s="19" t="str">
        <f aca="false">'Client-Product Master'!C28</f>
        <v>Bloom Weighig System</v>
      </c>
      <c r="C189" s="20" t="n">
        <f aca="false">'Client-Product Master'!E28</f>
        <v>0</v>
      </c>
      <c r="D189" s="8" t="n">
        <v>6</v>
      </c>
      <c r="E189" s="21" t="n">
        <f aca="false">INDEX('AMC &amp; Spares % Assumptions'!$B$5:$B$11, D189)</f>
        <v>0.065</v>
      </c>
      <c r="F189" s="22" t="n">
        <f aca="false">C189*E189</f>
        <v>0</v>
      </c>
      <c r="G189" s="21" t="n">
        <f aca="false">INDEX('AMC &amp; Spares % Assumptions'!$C$5:$C$11, D189)</f>
        <v>0.085</v>
      </c>
      <c r="H189" s="22" t="n">
        <f aca="false">C189*G189</f>
        <v>0</v>
      </c>
      <c r="I189" s="23" t="n">
        <f aca="false">F189+H189</f>
        <v>0</v>
      </c>
    </row>
    <row r="190" customFormat="false" ht="15" hidden="false" customHeight="false" outlineLevel="0" collapsed="false">
      <c r="A190" s="19" t="str">
        <f aca="false">'Client-Product Master'!B28</f>
        <v>Bhilai Steel plant</v>
      </c>
      <c r="B190" s="19" t="str">
        <f aca="false">'Client-Product Master'!C28</f>
        <v>Bloom Weighig System</v>
      </c>
      <c r="C190" s="20" t="n">
        <f aca="false">'Client-Product Master'!E28</f>
        <v>0</v>
      </c>
      <c r="D190" s="8" t="n">
        <v>7</v>
      </c>
      <c r="E190" s="21" t="n">
        <f aca="false">INDEX('AMC &amp; Spares % Assumptions'!$B$5:$B$11, D190)</f>
        <v>0.07</v>
      </c>
      <c r="F190" s="22" t="n">
        <f aca="false">C190*E190</f>
        <v>0</v>
      </c>
      <c r="G190" s="21" t="n">
        <f aca="false">INDEX('AMC &amp; Spares % Assumptions'!$C$5:$C$11, D190)</f>
        <v>0.095</v>
      </c>
      <c r="H190" s="22" t="n">
        <f aca="false">C190*G190</f>
        <v>0</v>
      </c>
      <c r="I190" s="23" t="n">
        <f aca="false">F190+H190</f>
        <v>0</v>
      </c>
    </row>
    <row r="191" customFormat="false" ht="15" hidden="false" customHeight="false" outlineLevel="0" collapsed="false">
      <c r="A191" s="19" t="str">
        <f aca="false">'Client-Product Master'!B29</f>
        <v>Jakson group</v>
      </c>
      <c r="B191" s="19" t="str">
        <f aca="false">'Client-Product Master'!C29</f>
        <v>Axle weighing pad</v>
      </c>
      <c r="C191" s="20" t="n">
        <f aca="false">'Client-Product Master'!E29</f>
        <v>0</v>
      </c>
      <c r="D191" s="8" t="n">
        <v>1</v>
      </c>
      <c r="E191" s="21" t="n">
        <f aca="false">INDEX('AMC &amp; Spares % Assumptions'!$B$5:$B$11, D191)</f>
        <v>0.015</v>
      </c>
      <c r="F191" s="22" t="n">
        <f aca="false">C191*E191</f>
        <v>0</v>
      </c>
      <c r="G191" s="21" t="n">
        <f aca="false">INDEX('AMC &amp; Spares % Assumptions'!$C$5:$C$11, D191)</f>
        <v>0.01</v>
      </c>
      <c r="H191" s="22" t="n">
        <f aca="false">C191*G191</f>
        <v>0</v>
      </c>
      <c r="I191" s="23" t="n">
        <f aca="false">F191+H191</f>
        <v>0</v>
      </c>
    </row>
    <row r="192" customFormat="false" ht="15" hidden="false" customHeight="false" outlineLevel="0" collapsed="false">
      <c r="A192" s="19" t="str">
        <f aca="false">'Client-Product Master'!B29</f>
        <v>Jakson group</v>
      </c>
      <c r="B192" s="19" t="str">
        <f aca="false">'Client-Product Master'!C29</f>
        <v>Axle weighing pad</v>
      </c>
      <c r="C192" s="20" t="n">
        <f aca="false">'Client-Product Master'!E29</f>
        <v>0</v>
      </c>
      <c r="D192" s="8" t="n">
        <v>2</v>
      </c>
      <c r="E192" s="21" t="n">
        <f aca="false">INDEX('AMC &amp; Spares % Assumptions'!$B$5:$B$11, D192)</f>
        <v>0.03</v>
      </c>
      <c r="F192" s="22" t="n">
        <f aca="false">C192*E192</f>
        <v>0</v>
      </c>
      <c r="G192" s="21" t="n">
        <f aca="false">INDEX('AMC &amp; Spares % Assumptions'!$C$5:$C$11, D192)</f>
        <v>0.025</v>
      </c>
      <c r="H192" s="22" t="n">
        <f aca="false">C192*G192</f>
        <v>0</v>
      </c>
      <c r="I192" s="23" t="n">
        <f aca="false">F192+H192</f>
        <v>0</v>
      </c>
    </row>
    <row r="193" customFormat="false" ht="15" hidden="false" customHeight="false" outlineLevel="0" collapsed="false">
      <c r="A193" s="19" t="str">
        <f aca="false">'Client-Product Master'!B29</f>
        <v>Jakson group</v>
      </c>
      <c r="B193" s="19" t="str">
        <f aca="false">'Client-Product Master'!C29</f>
        <v>Axle weighing pad</v>
      </c>
      <c r="C193" s="20" t="n">
        <f aca="false">'Client-Product Master'!E29</f>
        <v>0</v>
      </c>
      <c r="D193" s="8" t="n">
        <v>3</v>
      </c>
      <c r="E193" s="21" t="n">
        <f aca="false">INDEX('AMC &amp; Spares % Assumptions'!$B$5:$B$11, D193)</f>
        <v>0.045</v>
      </c>
      <c r="F193" s="22" t="n">
        <f aca="false">C193*E193</f>
        <v>0</v>
      </c>
      <c r="G193" s="21" t="n">
        <f aca="false">INDEX('AMC &amp; Spares % Assumptions'!$C$5:$C$11, D193)</f>
        <v>0.045</v>
      </c>
      <c r="H193" s="22" t="n">
        <f aca="false">C193*G193</f>
        <v>0</v>
      </c>
      <c r="I193" s="23" t="n">
        <f aca="false">F193+H193</f>
        <v>0</v>
      </c>
    </row>
    <row r="194" customFormat="false" ht="15" hidden="false" customHeight="false" outlineLevel="0" collapsed="false">
      <c r="A194" s="19" t="str">
        <f aca="false">'Client-Product Master'!B29</f>
        <v>Jakson group</v>
      </c>
      <c r="B194" s="19" t="str">
        <f aca="false">'Client-Product Master'!C29</f>
        <v>Axle weighing pad</v>
      </c>
      <c r="C194" s="20" t="n">
        <f aca="false">'Client-Product Master'!E29</f>
        <v>0</v>
      </c>
      <c r="D194" s="8" t="n">
        <v>4</v>
      </c>
      <c r="E194" s="21" t="n">
        <f aca="false">INDEX('AMC &amp; Spares % Assumptions'!$B$5:$B$11, D194)</f>
        <v>0.055</v>
      </c>
      <c r="F194" s="22" t="n">
        <f aca="false">C194*E194</f>
        <v>0</v>
      </c>
      <c r="G194" s="21" t="n">
        <f aca="false">INDEX('AMC &amp; Spares % Assumptions'!$C$5:$C$11, D194)</f>
        <v>0.06</v>
      </c>
      <c r="H194" s="22" t="n">
        <f aca="false">C194*G194</f>
        <v>0</v>
      </c>
      <c r="I194" s="23" t="n">
        <f aca="false">F194+H194</f>
        <v>0</v>
      </c>
    </row>
    <row r="195" customFormat="false" ht="15" hidden="false" customHeight="false" outlineLevel="0" collapsed="false">
      <c r="A195" s="19" t="str">
        <f aca="false">'Client-Product Master'!B29</f>
        <v>Jakson group</v>
      </c>
      <c r="B195" s="19" t="str">
        <f aca="false">'Client-Product Master'!C29</f>
        <v>Axle weighing pad</v>
      </c>
      <c r="C195" s="20" t="n">
        <f aca="false">'Client-Product Master'!E29</f>
        <v>0</v>
      </c>
      <c r="D195" s="8" t="n">
        <v>5</v>
      </c>
      <c r="E195" s="21" t="n">
        <f aca="false">INDEX('AMC &amp; Spares % Assumptions'!$B$5:$B$11, D195)</f>
        <v>0.06</v>
      </c>
      <c r="F195" s="22" t="n">
        <f aca="false">C195*E195</f>
        <v>0</v>
      </c>
      <c r="G195" s="21" t="n">
        <f aca="false">INDEX('AMC &amp; Spares % Assumptions'!$C$5:$C$11, D195)</f>
        <v>0.075</v>
      </c>
      <c r="H195" s="22" t="n">
        <f aca="false">C195*G195</f>
        <v>0</v>
      </c>
      <c r="I195" s="23" t="n">
        <f aca="false">F195+H195</f>
        <v>0</v>
      </c>
    </row>
    <row r="196" customFormat="false" ht="15" hidden="false" customHeight="false" outlineLevel="0" collapsed="false">
      <c r="A196" s="19" t="str">
        <f aca="false">'Client-Product Master'!B29</f>
        <v>Jakson group</v>
      </c>
      <c r="B196" s="19" t="str">
        <f aca="false">'Client-Product Master'!C29</f>
        <v>Axle weighing pad</v>
      </c>
      <c r="C196" s="20" t="n">
        <f aca="false">'Client-Product Master'!E29</f>
        <v>0</v>
      </c>
      <c r="D196" s="8" t="n">
        <v>6</v>
      </c>
      <c r="E196" s="21" t="n">
        <f aca="false">INDEX('AMC &amp; Spares % Assumptions'!$B$5:$B$11, D196)</f>
        <v>0.065</v>
      </c>
      <c r="F196" s="22" t="n">
        <f aca="false">C196*E196</f>
        <v>0</v>
      </c>
      <c r="G196" s="21" t="n">
        <f aca="false">INDEX('AMC &amp; Spares % Assumptions'!$C$5:$C$11, D196)</f>
        <v>0.085</v>
      </c>
      <c r="H196" s="22" t="n">
        <f aca="false">C196*G196</f>
        <v>0</v>
      </c>
      <c r="I196" s="23" t="n">
        <f aca="false">F196+H196</f>
        <v>0</v>
      </c>
    </row>
    <row r="197" customFormat="false" ht="15" hidden="false" customHeight="false" outlineLevel="0" collapsed="false">
      <c r="A197" s="19" t="str">
        <f aca="false">'Client-Product Master'!B29</f>
        <v>Jakson group</v>
      </c>
      <c r="B197" s="19" t="str">
        <f aca="false">'Client-Product Master'!C29</f>
        <v>Axle weighing pad</v>
      </c>
      <c r="C197" s="20" t="n">
        <f aca="false">'Client-Product Master'!E29</f>
        <v>0</v>
      </c>
      <c r="D197" s="8" t="n">
        <v>7</v>
      </c>
      <c r="E197" s="21" t="n">
        <f aca="false">INDEX('AMC &amp; Spares % Assumptions'!$B$5:$B$11, D197)</f>
        <v>0.07</v>
      </c>
      <c r="F197" s="22" t="n">
        <f aca="false">C197*E197</f>
        <v>0</v>
      </c>
      <c r="G197" s="21" t="n">
        <f aca="false">INDEX('AMC &amp; Spares % Assumptions'!$C$5:$C$11, D197)</f>
        <v>0.095</v>
      </c>
      <c r="H197" s="22" t="n">
        <f aca="false">C197*G197</f>
        <v>0</v>
      </c>
      <c r="I197" s="23" t="n">
        <f aca="false">F197+H197</f>
        <v>0</v>
      </c>
    </row>
    <row r="198" customFormat="false" ht="15" hidden="false" customHeight="false" outlineLevel="0" collapsed="false">
      <c r="A198" s="19" t="str">
        <f aca="false">'Client-Product Master'!B30</f>
        <v>JSW Bellary</v>
      </c>
      <c r="B198" s="19" t="str">
        <f aca="false">'Client-Product Master'!C30</f>
        <v>Wagon Tippler Weighing system</v>
      </c>
      <c r="C198" s="20" t="n">
        <f aca="false">'Client-Product Master'!E30</f>
        <v>0</v>
      </c>
      <c r="D198" s="8" t="n">
        <v>1</v>
      </c>
      <c r="E198" s="21" t="n">
        <f aca="false">INDEX('AMC &amp; Spares % Assumptions'!$B$5:$B$11, D198)</f>
        <v>0.015</v>
      </c>
      <c r="F198" s="22" t="n">
        <f aca="false">C198*E198</f>
        <v>0</v>
      </c>
      <c r="G198" s="21" t="n">
        <f aca="false">INDEX('AMC &amp; Spares % Assumptions'!$C$5:$C$11, D198)</f>
        <v>0.01</v>
      </c>
      <c r="H198" s="22" t="n">
        <f aca="false">C198*G198</f>
        <v>0</v>
      </c>
      <c r="I198" s="23" t="n">
        <f aca="false">F198+H198</f>
        <v>0</v>
      </c>
    </row>
    <row r="199" customFormat="false" ht="15" hidden="false" customHeight="false" outlineLevel="0" collapsed="false">
      <c r="A199" s="19" t="str">
        <f aca="false">'Client-Product Master'!B30</f>
        <v>JSW Bellary</v>
      </c>
      <c r="B199" s="19" t="str">
        <f aca="false">'Client-Product Master'!C30</f>
        <v>Wagon Tippler Weighing system</v>
      </c>
      <c r="C199" s="20" t="n">
        <f aca="false">'Client-Product Master'!E30</f>
        <v>0</v>
      </c>
      <c r="D199" s="8" t="n">
        <v>2</v>
      </c>
      <c r="E199" s="21" t="n">
        <f aca="false">INDEX('AMC &amp; Spares % Assumptions'!$B$5:$B$11, D199)</f>
        <v>0.03</v>
      </c>
      <c r="F199" s="22" t="n">
        <f aca="false">C199*E199</f>
        <v>0</v>
      </c>
      <c r="G199" s="21" t="n">
        <f aca="false">INDEX('AMC &amp; Spares % Assumptions'!$C$5:$C$11, D199)</f>
        <v>0.025</v>
      </c>
      <c r="H199" s="22" t="n">
        <f aca="false">C199*G199</f>
        <v>0</v>
      </c>
      <c r="I199" s="23" t="n">
        <f aca="false">F199+H199</f>
        <v>0</v>
      </c>
    </row>
    <row r="200" customFormat="false" ht="15" hidden="false" customHeight="false" outlineLevel="0" collapsed="false">
      <c r="A200" s="19" t="str">
        <f aca="false">'Client-Product Master'!B30</f>
        <v>JSW Bellary</v>
      </c>
      <c r="B200" s="19" t="str">
        <f aca="false">'Client-Product Master'!C30</f>
        <v>Wagon Tippler Weighing system</v>
      </c>
      <c r="C200" s="20" t="n">
        <f aca="false">'Client-Product Master'!E30</f>
        <v>0</v>
      </c>
      <c r="D200" s="8" t="n">
        <v>3</v>
      </c>
      <c r="E200" s="21" t="n">
        <f aca="false">INDEX('AMC &amp; Spares % Assumptions'!$B$5:$B$11, D200)</f>
        <v>0.045</v>
      </c>
      <c r="F200" s="22" t="n">
        <f aca="false">C200*E200</f>
        <v>0</v>
      </c>
      <c r="G200" s="21" t="n">
        <f aca="false">INDEX('AMC &amp; Spares % Assumptions'!$C$5:$C$11, D200)</f>
        <v>0.045</v>
      </c>
      <c r="H200" s="22" t="n">
        <f aca="false">C200*G200</f>
        <v>0</v>
      </c>
      <c r="I200" s="23" t="n">
        <f aca="false">F200+H200</f>
        <v>0</v>
      </c>
    </row>
    <row r="201" customFormat="false" ht="15" hidden="false" customHeight="false" outlineLevel="0" collapsed="false">
      <c r="A201" s="19" t="str">
        <f aca="false">'Client-Product Master'!B30</f>
        <v>JSW Bellary</v>
      </c>
      <c r="B201" s="19" t="str">
        <f aca="false">'Client-Product Master'!C30</f>
        <v>Wagon Tippler Weighing system</v>
      </c>
      <c r="C201" s="20" t="n">
        <f aca="false">'Client-Product Master'!E30</f>
        <v>0</v>
      </c>
      <c r="D201" s="8" t="n">
        <v>4</v>
      </c>
      <c r="E201" s="21" t="n">
        <f aca="false">INDEX('AMC &amp; Spares % Assumptions'!$B$5:$B$11, D201)</f>
        <v>0.055</v>
      </c>
      <c r="F201" s="22" t="n">
        <f aca="false">C201*E201</f>
        <v>0</v>
      </c>
      <c r="G201" s="21" t="n">
        <f aca="false">INDEX('AMC &amp; Spares % Assumptions'!$C$5:$C$11, D201)</f>
        <v>0.06</v>
      </c>
      <c r="H201" s="22" t="n">
        <f aca="false">C201*G201</f>
        <v>0</v>
      </c>
      <c r="I201" s="23" t="n">
        <f aca="false">F201+H201</f>
        <v>0</v>
      </c>
    </row>
    <row r="202" customFormat="false" ht="15" hidden="false" customHeight="false" outlineLevel="0" collapsed="false">
      <c r="A202" s="19" t="str">
        <f aca="false">'Client-Product Master'!B30</f>
        <v>JSW Bellary</v>
      </c>
      <c r="B202" s="19" t="str">
        <f aca="false">'Client-Product Master'!C30</f>
        <v>Wagon Tippler Weighing system</v>
      </c>
      <c r="C202" s="20" t="n">
        <f aca="false">'Client-Product Master'!E30</f>
        <v>0</v>
      </c>
      <c r="D202" s="8" t="n">
        <v>5</v>
      </c>
      <c r="E202" s="21" t="n">
        <f aca="false">INDEX('AMC &amp; Spares % Assumptions'!$B$5:$B$11, D202)</f>
        <v>0.06</v>
      </c>
      <c r="F202" s="22" t="n">
        <f aca="false">C202*E202</f>
        <v>0</v>
      </c>
      <c r="G202" s="21" t="n">
        <f aca="false">INDEX('AMC &amp; Spares % Assumptions'!$C$5:$C$11, D202)</f>
        <v>0.075</v>
      </c>
      <c r="H202" s="22" t="n">
        <f aca="false">C202*G202</f>
        <v>0</v>
      </c>
      <c r="I202" s="23" t="n">
        <f aca="false">F202+H202</f>
        <v>0</v>
      </c>
    </row>
    <row r="203" customFormat="false" ht="15" hidden="false" customHeight="false" outlineLevel="0" collapsed="false">
      <c r="A203" s="19" t="str">
        <f aca="false">'Client-Product Master'!B30</f>
        <v>JSW Bellary</v>
      </c>
      <c r="B203" s="19" t="str">
        <f aca="false">'Client-Product Master'!C30</f>
        <v>Wagon Tippler Weighing system</v>
      </c>
      <c r="C203" s="20" t="n">
        <f aca="false">'Client-Product Master'!E30</f>
        <v>0</v>
      </c>
      <c r="D203" s="8" t="n">
        <v>6</v>
      </c>
      <c r="E203" s="21" t="n">
        <f aca="false">INDEX('AMC &amp; Spares % Assumptions'!$B$5:$B$11, D203)</f>
        <v>0.065</v>
      </c>
      <c r="F203" s="22" t="n">
        <f aca="false">C203*E203</f>
        <v>0</v>
      </c>
      <c r="G203" s="21" t="n">
        <f aca="false">INDEX('AMC &amp; Spares % Assumptions'!$C$5:$C$11, D203)</f>
        <v>0.085</v>
      </c>
      <c r="H203" s="22" t="n">
        <f aca="false">C203*G203</f>
        <v>0</v>
      </c>
      <c r="I203" s="23" t="n">
        <f aca="false">F203+H203</f>
        <v>0</v>
      </c>
    </row>
    <row r="204" customFormat="false" ht="15" hidden="false" customHeight="false" outlineLevel="0" collapsed="false">
      <c r="A204" s="19" t="str">
        <f aca="false">'Client-Product Master'!B30</f>
        <v>JSW Bellary</v>
      </c>
      <c r="B204" s="19" t="str">
        <f aca="false">'Client-Product Master'!C30</f>
        <v>Wagon Tippler Weighing system</v>
      </c>
      <c r="C204" s="20" t="n">
        <f aca="false">'Client-Product Master'!E30</f>
        <v>0</v>
      </c>
      <c r="D204" s="8" t="n">
        <v>7</v>
      </c>
      <c r="E204" s="21" t="n">
        <f aca="false">INDEX('AMC &amp; Spares % Assumptions'!$B$5:$B$11, D204)</f>
        <v>0.07</v>
      </c>
      <c r="F204" s="22" t="n">
        <f aca="false">C204*E204</f>
        <v>0</v>
      </c>
      <c r="G204" s="21" t="n">
        <f aca="false">INDEX('AMC &amp; Spares % Assumptions'!$C$5:$C$11, D204)</f>
        <v>0.095</v>
      </c>
      <c r="H204" s="22" t="n">
        <f aca="false">C204*G204</f>
        <v>0</v>
      </c>
      <c r="I204" s="23" t="n">
        <f aca="false">F204+H204</f>
        <v>0</v>
      </c>
    </row>
    <row r="205" customFormat="false" ht="15" hidden="false" customHeight="false" outlineLevel="0" collapsed="false">
      <c r="A205" s="19" t="str">
        <f aca="false">'Client-Product Master'!B31</f>
        <v>Yash Trading Co</v>
      </c>
      <c r="B205" s="19" t="str">
        <f aca="false">'Client-Product Master'!C31</f>
        <v>Wagon Tippler Weighing system</v>
      </c>
      <c r="C205" s="20" t="n">
        <f aca="false">'Client-Product Master'!E31</f>
        <v>0</v>
      </c>
      <c r="D205" s="8" t="n">
        <v>1</v>
      </c>
      <c r="E205" s="21" t="n">
        <f aca="false">INDEX('AMC &amp; Spares % Assumptions'!$B$5:$B$11, D205)</f>
        <v>0.015</v>
      </c>
      <c r="F205" s="22" t="n">
        <f aca="false">C205*E205</f>
        <v>0</v>
      </c>
      <c r="G205" s="21" t="n">
        <f aca="false">INDEX('AMC &amp; Spares % Assumptions'!$C$5:$C$11, D205)</f>
        <v>0.01</v>
      </c>
      <c r="H205" s="22" t="n">
        <f aca="false">C205*G205</f>
        <v>0</v>
      </c>
      <c r="I205" s="23" t="n">
        <f aca="false">F205+H205</f>
        <v>0</v>
      </c>
    </row>
    <row r="206" customFormat="false" ht="15" hidden="false" customHeight="false" outlineLevel="0" collapsed="false">
      <c r="A206" s="19" t="str">
        <f aca="false">'Client-Product Master'!B31</f>
        <v>Yash Trading Co</v>
      </c>
      <c r="B206" s="19" t="str">
        <f aca="false">'Client-Product Master'!C31</f>
        <v>Wagon Tippler Weighing system</v>
      </c>
      <c r="C206" s="20" t="n">
        <f aca="false">'Client-Product Master'!E31</f>
        <v>0</v>
      </c>
      <c r="D206" s="8" t="n">
        <v>2</v>
      </c>
      <c r="E206" s="21" t="n">
        <f aca="false">INDEX('AMC &amp; Spares % Assumptions'!$B$5:$B$11, D206)</f>
        <v>0.03</v>
      </c>
      <c r="F206" s="22" t="n">
        <f aca="false">C206*E206</f>
        <v>0</v>
      </c>
      <c r="G206" s="21" t="n">
        <f aca="false">INDEX('AMC &amp; Spares % Assumptions'!$C$5:$C$11, D206)</f>
        <v>0.025</v>
      </c>
      <c r="H206" s="22" t="n">
        <f aca="false">C206*G206</f>
        <v>0</v>
      </c>
      <c r="I206" s="23" t="n">
        <f aca="false">F206+H206</f>
        <v>0</v>
      </c>
    </row>
    <row r="207" customFormat="false" ht="15" hidden="false" customHeight="false" outlineLevel="0" collapsed="false">
      <c r="A207" s="19" t="str">
        <f aca="false">'Client-Product Master'!B31</f>
        <v>Yash Trading Co</v>
      </c>
      <c r="B207" s="19" t="str">
        <f aca="false">'Client-Product Master'!C31</f>
        <v>Wagon Tippler Weighing system</v>
      </c>
      <c r="C207" s="20" t="n">
        <f aca="false">'Client-Product Master'!E31</f>
        <v>0</v>
      </c>
      <c r="D207" s="8" t="n">
        <v>3</v>
      </c>
      <c r="E207" s="21" t="n">
        <f aca="false">INDEX('AMC &amp; Spares % Assumptions'!$B$5:$B$11, D207)</f>
        <v>0.045</v>
      </c>
      <c r="F207" s="22" t="n">
        <f aca="false">C207*E207</f>
        <v>0</v>
      </c>
      <c r="G207" s="21" t="n">
        <f aca="false">INDEX('AMC &amp; Spares % Assumptions'!$C$5:$C$11, D207)</f>
        <v>0.045</v>
      </c>
      <c r="H207" s="22" t="n">
        <f aca="false">C207*G207</f>
        <v>0</v>
      </c>
      <c r="I207" s="23" t="n">
        <f aca="false">F207+H207</f>
        <v>0</v>
      </c>
    </row>
    <row r="208" customFormat="false" ht="15" hidden="false" customHeight="false" outlineLevel="0" collapsed="false">
      <c r="A208" s="19" t="str">
        <f aca="false">'Client-Product Master'!B31</f>
        <v>Yash Trading Co</v>
      </c>
      <c r="B208" s="19" t="str">
        <f aca="false">'Client-Product Master'!C31</f>
        <v>Wagon Tippler Weighing system</v>
      </c>
      <c r="C208" s="20" t="n">
        <f aca="false">'Client-Product Master'!E31</f>
        <v>0</v>
      </c>
      <c r="D208" s="8" t="n">
        <v>4</v>
      </c>
      <c r="E208" s="21" t="n">
        <f aca="false">INDEX('AMC &amp; Spares % Assumptions'!$B$5:$B$11, D208)</f>
        <v>0.055</v>
      </c>
      <c r="F208" s="22" t="n">
        <f aca="false">C208*E208</f>
        <v>0</v>
      </c>
      <c r="G208" s="21" t="n">
        <f aca="false">INDEX('AMC &amp; Spares % Assumptions'!$C$5:$C$11, D208)</f>
        <v>0.06</v>
      </c>
      <c r="H208" s="22" t="n">
        <f aca="false">C208*G208</f>
        <v>0</v>
      </c>
      <c r="I208" s="23" t="n">
        <f aca="false">F208+H208</f>
        <v>0</v>
      </c>
    </row>
    <row r="209" customFormat="false" ht="15" hidden="false" customHeight="false" outlineLevel="0" collapsed="false">
      <c r="A209" s="19" t="str">
        <f aca="false">'Client-Product Master'!B31</f>
        <v>Yash Trading Co</v>
      </c>
      <c r="B209" s="19" t="str">
        <f aca="false">'Client-Product Master'!C31</f>
        <v>Wagon Tippler Weighing system</v>
      </c>
      <c r="C209" s="20" t="n">
        <f aca="false">'Client-Product Master'!E31</f>
        <v>0</v>
      </c>
      <c r="D209" s="8" t="n">
        <v>5</v>
      </c>
      <c r="E209" s="21" t="n">
        <f aca="false">INDEX('AMC &amp; Spares % Assumptions'!$B$5:$B$11, D209)</f>
        <v>0.06</v>
      </c>
      <c r="F209" s="22" t="n">
        <f aca="false">C209*E209</f>
        <v>0</v>
      </c>
      <c r="G209" s="21" t="n">
        <f aca="false">INDEX('AMC &amp; Spares % Assumptions'!$C$5:$C$11, D209)</f>
        <v>0.075</v>
      </c>
      <c r="H209" s="22" t="n">
        <f aca="false">C209*G209</f>
        <v>0</v>
      </c>
      <c r="I209" s="23" t="n">
        <f aca="false">F209+H209</f>
        <v>0</v>
      </c>
    </row>
    <row r="210" customFormat="false" ht="15" hidden="false" customHeight="false" outlineLevel="0" collapsed="false">
      <c r="A210" s="19" t="str">
        <f aca="false">'Client-Product Master'!B31</f>
        <v>Yash Trading Co</v>
      </c>
      <c r="B210" s="19" t="str">
        <f aca="false">'Client-Product Master'!C31</f>
        <v>Wagon Tippler Weighing system</v>
      </c>
      <c r="C210" s="20" t="n">
        <f aca="false">'Client-Product Master'!E31</f>
        <v>0</v>
      </c>
      <c r="D210" s="8" t="n">
        <v>6</v>
      </c>
      <c r="E210" s="21" t="n">
        <f aca="false">INDEX('AMC &amp; Spares % Assumptions'!$B$5:$B$11, D210)</f>
        <v>0.065</v>
      </c>
      <c r="F210" s="22" t="n">
        <f aca="false">C210*E210</f>
        <v>0</v>
      </c>
      <c r="G210" s="21" t="n">
        <f aca="false">INDEX('AMC &amp; Spares % Assumptions'!$C$5:$C$11, D210)</f>
        <v>0.085</v>
      </c>
      <c r="H210" s="22" t="n">
        <f aca="false">C210*G210</f>
        <v>0</v>
      </c>
      <c r="I210" s="23" t="n">
        <f aca="false">F210+H210</f>
        <v>0</v>
      </c>
    </row>
    <row r="211" customFormat="false" ht="15" hidden="false" customHeight="false" outlineLevel="0" collapsed="false">
      <c r="A211" s="19" t="str">
        <f aca="false">'Client-Product Master'!B31</f>
        <v>Yash Trading Co</v>
      </c>
      <c r="B211" s="19" t="str">
        <f aca="false">'Client-Product Master'!C31</f>
        <v>Wagon Tippler Weighing system</v>
      </c>
      <c r="C211" s="20" t="n">
        <f aca="false">'Client-Product Master'!E31</f>
        <v>0</v>
      </c>
      <c r="D211" s="8" t="n">
        <v>7</v>
      </c>
      <c r="E211" s="21" t="n">
        <f aca="false">INDEX('AMC &amp; Spares % Assumptions'!$B$5:$B$11, D211)</f>
        <v>0.07</v>
      </c>
      <c r="F211" s="22" t="n">
        <f aca="false">C211*E211</f>
        <v>0</v>
      </c>
      <c r="G211" s="21" t="n">
        <f aca="false">INDEX('AMC &amp; Spares % Assumptions'!$C$5:$C$11, D211)</f>
        <v>0.095</v>
      </c>
      <c r="H211" s="22" t="n">
        <f aca="false">C211*G211</f>
        <v>0</v>
      </c>
      <c r="I211" s="23" t="n">
        <f aca="false">F211+H211</f>
        <v>0</v>
      </c>
    </row>
    <row r="212" customFormat="false" ht="15" hidden="false" customHeight="false" outlineLevel="0" collapsed="false">
      <c r="A212" s="19" t="str">
        <f aca="false">'Client-Product Master'!B32</f>
        <v>Vizag STeel Plant</v>
      </c>
      <c r="B212" s="19" t="str">
        <f aca="false">'Client-Product Master'!C32</f>
        <v>CRANE WEIGHING TRANSMISSION</v>
      </c>
      <c r="C212" s="20" t="n">
        <f aca="false">'Client-Product Master'!E32</f>
        <v>0</v>
      </c>
      <c r="D212" s="8" t="n">
        <v>1</v>
      </c>
      <c r="E212" s="21" t="n">
        <f aca="false">INDEX('AMC &amp; Spares % Assumptions'!$B$5:$B$11, D212)</f>
        <v>0.015</v>
      </c>
      <c r="F212" s="22" t="n">
        <f aca="false">C212*E212</f>
        <v>0</v>
      </c>
      <c r="G212" s="21" t="n">
        <f aca="false">INDEX('AMC &amp; Spares % Assumptions'!$C$5:$C$11, D212)</f>
        <v>0.01</v>
      </c>
      <c r="H212" s="22" t="n">
        <f aca="false">C212*G212</f>
        <v>0</v>
      </c>
      <c r="I212" s="23" t="n">
        <f aca="false">F212+H212</f>
        <v>0</v>
      </c>
    </row>
    <row r="213" customFormat="false" ht="15" hidden="false" customHeight="false" outlineLevel="0" collapsed="false">
      <c r="A213" s="19" t="str">
        <f aca="false">'Client-Product Master'!B32</f>
        <v>Vizag STeel Plant</v>
      </c>
      <c r="B213" s="19" t="str">
        <f aca="false">'Client-Product Master'!C32</f>
        <v>CRANE WEIGHING TRANSMISSION</v>
      </c>
      <c r="C213" s="20" t="n">
        <f aca="false">'Client-Product Master'!E32</f>
        <v>0</v>
      </c>
      <c r="D213" s="8" t="n">
        <v>2</v>
      </c>
      <c r="E213" s="21" t="n">
        <f aca="false">INDEX('AMC &amp; Spares % Assumptions'!$B$5:$B$11, D213)</f>
        <v>0.03</v>
      </c>
      <c r="F213" s="22" t="n">
        <f aca="false">C213*E213</f>
        <v>0</v>
      </c>
      <c r="G213" s="21" t="n">
        <f aca="false">INDEX('AMC &amp; Spares % Assumptions'!$C$5:$C$11, D213)</f>
        <v>0.025</v>
      </c>
      <c r="H213" s="22" t="n">
        <f aca="false">C213*G213</f>
        <v>0</v>
      </c>
      <c r="I213" s="23" t="n">
        <f aca="false">F213+H213</f>
        <v>0</v>
      </c>
    </row>
    <row r="214" customFormat="false" ht="15" hidden="false" customHeight="false" outlineLevel="0" collapsed="false">
      <c r="A214" s="19" t="str">
        <f aca="false">'Client-Product Master'!B32</f>
        <v>Vizag STeel Plant</v>
      </c>
      <c r="B214" s="19" t="str">
        <f aca="false">'Client-Product Master'!C32</f>
        <v>CRANE WEIGHING TRANSMISSION</v>
      </c>
      <c r="C214" s="20" t="n">
        <f aca="false">'Client-Product Master'!E32</f>
        <v>0</v>
      </c>
      <c r="D214" s="8" t="n">
        <v>3</v>
      </c>
      <c r="E214" s="21" t="n">
        <f aca="false">INDEX('AMC &amp; Spares % Assumptions'!$B$5:$B$11, D214)</f>
        <v>0.045</v>
      </c>
      <c r="F214" s="22" t="n">
        <f aca="false">C214*E214</f>
        <v>0</v>
      </c>
      <c r="G214" s="21" t="n">
        <f aca="false">INDEX('AMC &amp; Spares % Assumptions'!$C$5:$C$11, D214)</f>
        <v>0.045</v>
      </c>
      <c r="H214" s="22" t="n">
        <f aca="false">C214*G214</f>
        <v>0</v>
      </c>
      <c r="I214" s="23" t="n">
        <f aca="false">F214+H214</f>
        <v>0</v>
      </c>
    </row>
    <row r="215" customFormat="false" ht="15" hidden="false" customHeight="false" outlineLevel="0" collapsed="false">
      <c r="A215" s="19" t="str">
        <f aca="false">'Client-Product Master'!B32</f>
        <v>Vizag STeel Plant</v>
      </c>
      <c r="B215" s="19" t="str">
        <f aca="false">'Client-Product Master'!C32</f>
        <v>CRANE WEIGHING TRANSMISSION</v>
      </c>
      <c r="C215" s="20" t="n">
        <f aca="false">'Client-Product Master'!E32</f>
        <v>0</v>
      </c>
      <c r="D215" s="8" t="n">
        <v>4</v>
      </c>
      <c r="E215" s="21" t="n">
        <f aca="false">INDEX('AMC &amp; Spares % Assumptions'!$B$5:$B$11, D215)</f>
        <v>0.055</v>
      </c>
      <c r="F215" s="22" t="n">
        <f aca="false">C215*E215</f>
        <v>0</v>
      </c>
      <c r="G215" s="21" t="n">
        <f aca="false">INDEX('AMC &amp; Spares % Assumptions'!$C$5:$C$11, D215)</f>
        <v>0.06</v>
      </c>
      <c r="H215" s="22" t="n">
        <f aca="false">C215*G215</f>
        <v>0</v>
      </c>
      <c r="I215" s="23" t="n">
        <f aca="false">F215+H215</f>
        <v>0</v>
      </c>
    </row>
    <row r="216" customFormat="false" ht="15" hidden="false" customHeight="false" outlineLevel="0" collapsed="false">
      <c r="A216" s="19" t="str">
        <f aca="false">'Client-Product Master'!B32</f>
        <v>Vizag STeel Plant</v>
      </c>
      <c r="B216" s="19" t="str">
        <f aca="false">'Client-Product Master'!C32</f>
        <v>CRANE WEIGHING TRANSMISSION</v>
      </c>
      <c r="C216" s="20" t="n">
        <f aca="false">'Client-Product Master'!E32</f>
        <v>0</v>
      </c>
      <c r="D216" s="8" t="n">
        <v>5</v>
      </c>
      <c r="E216" s="21" t="n">
        <f aca="false">INDEX('AMC &amp; Spares % Assumptions'!$B$5:$B$11, D216)</f>
        <v>0.06</v>
      </c>
      <c r="F216" s="22" t="n">
        <f aca="false">C216*E216</f>
        <v>0</v>
      </c>
      <c r="G216" s="21" t="n">
        <f aca="false">INDEX('AMC &amp; Spares % Assumptions'!$C$5:$C$11, D216)</f>
        <v>0.075</v>
      </c>
      <c r="H216" s="22" t="n">
        <f aca="false">C216*G216</f>
        <v>0</v>
      </c>
      <c r="I216" s="23" t="n">
        <f aca="false">F216+H216</f>
        <v>0</v>
      </c>
    </row>
    <row r="217" customFormat="false" ht="15" hidden="false" customHeight="false" outlineLevel="0" collapsed="false">
      <c r="A217" s="19" t="str">
        <f aca="false">'Client-Product Master'!B32</f>
        <v>Vizag STeel Plant</v>
      </c>
      <c r="B217" s="19" t="str">
        <f aca="false">'Client-Product Master'!C32</f>
        <v>CRANE WEIGHING TRANSMISSION</v>
      </c>
      <c r="C217" s="20" t="n">
        <f aca="false">'Client-Product Master'!E32</f>
        <v>0</v>
      </c>
      <c r="D217" s="8" t="n">
        <v>6</v>
      </c>
      <c r="E217" s="21" t="n">
        <f aca="false">INDEX('AMC &amp; Spares % Assumptions'!$B$5:$B$11, D217)</f>
        <v>0.065</v>
      </c>
      <c r="F217" s="22" t="n">
        <f aca="false">C217*E217</f>
        <v>0</v>
      </c>
      <c r="G217" s="21" t="n">
        <f aca="false">INDEX('AMC &amp; Spares % Assumptions'!$C$5:$C$11, D217)</f>
        <v>0.085</v>
      </c>
      <c r="H217" s="22" t="n">
        <f aca="false">C217*G217</f>
        <v>0</v>
      </c>
      <c r="I217" s="23" t="n">
        <f aca="false">F217+H217</f>
        <v>0</v>
      </c>
    </row>
    <row r="218" customFormat="false" ht="15" hidden="false" customHeight="false" outlineLevel="0" collapsed="false">
      <c r="A218" s="19" t="str">
        <f aca="false">'Client-Product Master'!B32</f>
        <v>Vizag STeel Plant</v>
      </c>
      <c r="B218" s="19" t="str">
        <f aca="false">'Client-Product Master'!C32</f>
        <v>CRANE WEIGHING TRANSMISSION</v>
      </c>
      <c r="C218" s="20" t="n">
        <f aca="false">'Client-Product Master'!E32</f>
        <v>0</v>
      </c>
      <c r="D218" s="8" t="n">
        <v>7</v>
      </c>
      <c r="E218" s="21" t="n">
        <f aca="false">INDEX('AMC &amp; Spares % Assumptions'!$B$5:$B$11, D218)</f>
        <v>0.07</v>
      </c>
      <c r="F218" s="22" t="n">
        <f aca="false">C218*E218</f>
        <v>0</v>
      </c>
      <c r="G218" s="21" t="n">
        <f aca="false">INDEX('AMC &amp; Spares % Assumptions'!$C$5:$C$11, D218)</f>
        <v>0.095</v>
      </c>
      <c r="H218" s="22" t="n">
        <f aca="false">C218*G218</f>
        <v>0</v>
      </c>
      <c r="I218" s="23" t="n">
        <f aca="false">F218+H218</f>
        <v>0</v>
      </c>
    </row>
    <row r="219" customFormat="false" ht="15" hidden="false" customHeight="false" outlineLevel="0" collapsed="false">
      <c r="A219" s="19" t="str">
        <f aca="false">'Client-Product Master'!B33</f>
        <v>PARANTHAMAN EXPORTERS</v>
      </c>
      <c r="B219" s="19" t="str">
        <f aca="false">'Client-Product Master'!C33</f>
        <v>AXLE WEIGHING SYSTEM AND STEEL RAMP</v>
      </c>
      <c r="C219" s="20" t="n">
        <f aca="false">'Client-Product Master'!E33</f>
        <v>0</v>
      </c>
      <c r="D219" s="8" t="n">
        <v>1</v>
      </c>
      <c r="E219" s="21" t="n">
        <f aca="false">INDEX('AMC &amp; Spares % Assumptions'!$B$5:$B$11, D219)</f>
        <v>0.015</v>
      </c>
      <c r="F219" s="22" t="n">
        <f aca="false">C219*E219</f>
        <v>0</v>
      </c>
      <c r="G219" s="21" t="n">
        <f aca="false">INDEX('AMC &amp; Spares % Assumptions'!$C$5:$C$11, D219)</f>
        <v>0.01</v>
      </c>
      <c r="H219" s="22" t="n">
        <f aca="false">C219*G219</f>
        <v>0</v>
      </c>
      <c r="I219" s="23" t="n">
        <f aca="false">F219+H219</f>
        <v>0</v>
      </c>
    </row>
    <row r="220" customFormat="false" ht="15" hidden="false" customHeight="false" outlineLevel="0" collapsed="false">
      <c r="A220" s="19" t="str">
        <f aca="false">'Client-Product Master'!B33</f>
        <v>PARANTHAMAN EXPORTERS</v>
      </c>
      <c r="B220" s="19" t="str">
        <f aca="false">'Client-Product Master'!C33</f>
        <v>AXLE WEIGHING SYSTEM AND STEEL RAMP</v>
      </c>
      <c r="C220" s="20" t="n">
        <f aca="false">'Client-Product Master'!E33</f>
        <v>0</v>
      </c>
      <c r="D220" s="8" t="n">
        <v>2</v>
      </c>
      <c r="E220" s="21" t="n">
        <f aca="false">INDEX('AMC &amp; Spares % Assumptions'!$B$5:$B$11, D220)</f>
        <v>0.03</v>
      </c>
      <c r="F220" s="22" t="n">
        <f aca="false">C220*E220</f>
        <v>0</v>
      </c>
      <c r="G220" s="21" t="n">
        <f aca="false">INDEX('AMC &amp; Spares % Assumptions'!$C$5:$C$11, D220)</f>
        <v>0.025</v>
      </c>
      <c r="H220" s="22" t="n">
        <f aca="false">C220*G220</f>
        <v>0</v>
      </c>
      <c r="I220" s="23" t="n">
        <f aca="false">F220+H220</f>
        <v>0</v>
      </c>
    </row>
    <row r="221" customFormat="false" ht="15" hidden="false" customHeight="false" outlineLevel="0" collapsed="false">
      <c r="A221" s="19" t="str">
        <f aca="false">'Client-Product Master'!B33</f>
        <v>PARANTHAMAN EXPORTERS</v>
      </c>
      <c r="B221" s="19" t="str">
        <f aca="false">'Client-Product Master'!C33</f>
        <v>AXLE WEIGHING SYSTEM AND STEEL RAMP</v>
      </c>
      <c r="C221" s="20" t="n">
        <f aca="false">'Client-Product Master'!E33</f>
        <v>0</v>
      </c>
      <c r="D221" s="8" t="n">
        <v>3</v>
      </c>
      <c r="E221" s="21" t="n">
        <f aca="false">INDEX('AMC &amp; Spares % Assumptions'!$B$5:$B$11, D221)</f>
        <v>0.045</v>
      </c>
      <c r="F221" s="22" t="n">
        <f aca="false">C221*E221</f>
        <v>0</v>
      </c>
      <c r="G221" s="21" t="n">
        <f aca="false">INDEX('AMC &amp; Spares % Assumptions'!$C$5:$C$11, D221)</f>
        <v>0.045</v>
      </c>
      <c r="H221" s="22" t="n">
        <f aca="false">C221*G221</f>
        <v>0</v>
      </c>
      <c r="I221" s="23" t="n">
        <f aca="false">F221+H221</f>
        <v>0</v>
      </c>
    </row>
    <row r="222" customFormat="false" ht="15" hidden="false" customHeight="false" outlineLevel="0" collapsed="false">
      <c r="A222" s="19" t="str">
        <f aca="false">'Client-Product Master'!B33</f>
        <v>PARANTHAMAN EXPORTERS</v>
      </c>
      <c r="B222" s="19" t="str">
        <f aca="false">'Client-Product Master'!C33</f>
        <v>AXLE WEIGHING SYSTEM AND STEEL RAMP</v>
      </c>
      <c r="C222" s="20" t="n">
        <f aca="false">'Client-Product Master'!E33</f>
        <v>0</v>
      </c>
      <c r="D222" s="8" t="n">
        <v>4</v>
      </c>
      <c r="E222" s="21" t="n">
        <f aca="false">INDEX('AMC &amp; Spares % Assumptions'!$B$5:$B$11, D222)</f>
        <v>0.055</v>
      </c>
      <c r="F222" s="22" t="n">
        <f aca="false">C222*E222</f>
        <v>0</v>
      </c>
      <c r="G222" s="21" t="n">
        <f aca="false">INDEX('AMC &amp; Spares % Assumptions'!$C$5:$C$11, D222)</f>
        <v>0.06</v>
      </c>
      <c r="H222" s="22" t="n">
        <f aca="false">C222*G222</f>
        <v>0</v>
      </c>
      <c r="I222" s="23" t="n">
        <f aca="false">F222+H222</f>
        <v>0</v>
      </c>
    </row>
    <row r="223" customFormat="false" ht="15" hidden="false" customHeight="false" outlineLevel="0" collapsed="false">
      <c r="A223" s="19" t="str">
        <f aca="false">'Client-Product Master'!B33</f>
        <v>PARANTHAMAN EXPORTERS</v>
      </c>
      <c r="B223" s="19" t="str">
        <f aca="false">'Client-Product Master'!C33</f>
        <v>AXLE WEIGHING SYSTEM AND STEEL RAMP</v>
      </c>
      <c r="C223" s="20" t="n">
        <f aca="false">'Client-Product Master'!E33</f>
        <v>0</v>
      </c>
      <c r="D223" s="8" t="n">
        <v>5</v>
      </c>
      <c r="E223" s="21" t="n">
        <f aca="false">INDEX('AMC &amp; Spares % Assumptions'!$B$5:$B$11, D223)</f>
        <v>0.06</v>
      </c>
      <c r="F223" s="22" t="n">
        <f aca="false">C223*E223</f>
        <v>0</v>
      </c>
      <c r="G223" s="21" t="n">
        <f aca="false">INDEX('AMC &amp; Spares % Assumptions'!$C$5:$C$11, D223)</f>
        <v>0.075</v>
      </c>
      <c r="H223" s="22" t="n">
        <f aca="false">C223*G223</f>
        <v>0</v>
      </c>
      <c r="I223" s="23" t="n">
        <f aca="false">F223+H223</f>
        <v>0</v>
      </c>
    </row>
    <row r="224" customFormat="false" ht="15" hidden="false" customHeight="false" outlineLevel="0" collapsed="false">
      <c r="A224" s="19" t="str">
        <f aca="false">'Client-Product Master'!B33</f>
        <v>PARANTHAMAN EXPORTERS</v>
      </c>
      <c r="B224" s="19" t="str">
        <f aca="false">'Client-Product Master'!C33</f>
        <v>AXLE WEIGHING SYSTEM AND STEEL RAMP</v>
      </c>
      <c r="C224" s="20" t="n">
        <f aca="false">'Client-Product Master'!E33</f>
        <v>0</v>
      </c>
      <c r="D224" s="8" t="n">
        <v>6</v>
      </c>
      <c r="E224" s="21" t="n">
        <f aca="false">INDEX('AMC &amp; Spares % Assumptions'!$B$5:$B$11, D224)</f>
        <v>0.065</v>
      </c>
      <c r="F224" s="22" t="n">
        <f aca="false">C224*E224</f>
        <v>0</v>
      </c>
      <c r="G224" s="21" t="n">
        <f aca="false">INDEX('AMC &amp; Spares % Assumptions'!$C$5:$C$11, D224)</f>
        <v>0.085</v>
      </c>
      <c r="H224" s="22" t="n">
        <f aca="false">C224*G224</f>
        <v>0</v>
      </c>
      <c r="I224" s="23" t="n">
        <f aca="false">F224+H224</f>
        <v>0</v>
      </c>
    </row>
    <row r="225" customFormat="false" ht="15" hidden="false" customHeight="false" outlineLevel="0" collapsed="false">
      <c r="A225" s="19" t="str">
        <f aca="false">'Client-Product Master'!B33</f>
        <v>PARANTHAMAN EXPORTERS</v>
      </c>
      <c r="B225" s="19" t="str">
        <f aca="false">'Client-Product Master'!C33</f>
        <v>AXLE WEIGHING SYSTEM AND STEEL RAMP</v>
      </c>
      <c r="C225" s="20" t="n">
        <f aca="false">'Client-Product Master'!E33</f>
        <v>0</v>
      </c>
      <c r="D225" s="8" t="n">
        <v>7</v>
      </c>
      <c r="E225" s="21" t="n">
        <f aca="false">INDEX('AMC &amp; Spares % Assumptions'!$B$5:$B$11, D225)</f>
        <v>0.07</v>
      </c>
      <c r="F225" s="22" t="n">
        <f aca="false">C225*E225</f>
        <v>0</v>
      </c>
      <c r="G225" s="21" t="n">
        <f aca="false">INDEX('AMC &amp; Spares % Assumptions'!$C$5:$C$11, D225)</f>
        <v>0.095</v>
      </c>
      <c r="H225" s="22" t="n">
        <f aca="false">C225*G225</f>
        <v>0</v>
      </c>
      <c r="I225" s="23" t="n">
        <f aca="false">F225+H225</f>
        <v>0</v>
      </c>
    </row>
    <row r="226" customFormat="false" ht="15" hidden="false" customHeight="false" outlineLevel="0" collapsed="false">
      <c r="A226" s="19" t="str">
        <f aca="false">'Client-Product Master'!B34</f>
        <v>Bhushan Power &amp; Steel Limited</v>
      </c>
      <c r="B226" s="19" t="str">
        <f aca="false">'Client-Product Master'!C34</f>
        <v>HOPR WEIGHING system</v>
      </c>
      <c r="C226" s="20" t="n">
        <f aca="false">'Client-Product Master'!E34</f>
        <v>0</v>
      </c>
      <c r="D226" s="8" t="n">
        <v>1</v>
      </c>
      <c r="E226" s="21" t="n">
        <f aca="false">INDEX('AMC &amp; Spares % Assumptions'!$B$5:$B$11, D226)</f>
        <v>0.015</v>
      </c>
      <c r="F226" s="22" t="n">
        <f aca="false">C226*E226</f>
        <v>0</v>
      </c>
      <c r="G226" s="21" t="n">
        <f aca="false">INDEX('AMC &amp; Spares % Assumptions'!$C$5:$C$11, D226)</f>
        <v>0.01</v>
      </c>
      <c r="H226" s="22" t="n">
        <f aca="false">C226*G226</f>
        <v>0</v>
      </c>
      <c r="I226" s="23" t="n">
        <f aca="false">F226+H226</f>
        <v>0</v>
      </c>
    </row>
    <row r="227" customFormat="false" ht="15" hidden="false" customHeight="false" outlineLevel="0" collapsed="false">
      <c r="A227" s="19" t="str">
        <f aca="false">'Client-Product Master'!B34</f>
        <v>Bhushan Power &amp; Steel Limited</v>
      </c>
      <c r="B227" s="19" t="str">
        <f aca="false">'Client-Product Master'!C34</f>
        <v>HOPR WEIGHING system</v>
      </c>
      <c r="C227" s="20" t="n">
        <f aca="false">'Client-Product Master'!E34</f>
        <v>0</v>
      </c>
      <c r="D227" s="8" t="n">
        <v>2</v>
      </c>
      <c r="E227" s="21" t="n">
        <f aca="false">INDEX('AMC &amp; Spares % Assumptions'!$B$5:$B$11, D227)</f>
        <v>0.03</v>
      </c>
      <c r="F227" s="22" t="n">
        <f aca="false">C227*E227</f>
        <v>0</v>
      </c>
      <c r="G227" s="21" t="n">
        <f aca="false">INDEX('AMC &amp; Spares % Assumptions'!$C$5:$C$11, D227)</f>
        <v>0.025</v>
      </c>
      <c r="H227" s="22" t="n">
        <f aca="false">C227*G227</f>
        <v>0</v>
      </c>
      <c r="I227" s="23" t="n">
        <f aca="false">F227+H227</f>
        <v>0</v>
      </c>
    </row>
    <row r="228" customFormat="false" ht="15" hidden="false" customHeight="false" outlineLevel="0" collapsed="false">
      <c r="A228" s="19" t="str">
        <f aca="false">'Client-Product Master'!B34</f>
        <v>Bhushan Power &amp; Steel Limited</v>
      </c>
      <c r="B228" s="19" t="str">
        <f aca="false">'Client-Product Master'!C34</f>
        <v>HOPR WEIGHING system</v>
      </c>
      <c r="C228" s="20" t="n">
        <f aca="false">'Client-Product Master'!E34</f>
        <v>0</v>
      </c>
      <c r="D228" s="8" t="n">
        <v>3</v>
      </c>
      <c r="E228" s="21" t="n">
        <f aca="false">INDEX('AMC &amp; Spares % Assumptions'!$B$5:$B$11, D228)</f>
        <v>0.045</v>
      </c>
      <c r="F228" s="22" t="n">
        <f aca="false">C228*E228</f>
        <v>0</v>
      </c>
      <c r="G228" s="21" t="n">
        <f aca="false">INDEX('AMC &amp; Spares % Assumptions'!$C$5:$C$11, D228)</f>
        <v>0.045</v>
      </c>
      <c r="H228" s="22" t="n">
        <f aca="false">C228*G228</f>
        <v>0</v>
      </c>
      <c r="I228" s="23" t="n">
        <f aca="false">F228+H228</f>
        <v>0</v>
      </c>
    </row>
    <row r="229" customFormat="false" ht="15" hidden="false" customHeight="false" outlineLevel="0" collapsed="false">
      <c r="A229" s="19" t="str">
        <f aca="false">'Client-Product Master'!B34</f>
        <v>Bhushan Power &amp; Steel Limited</v>
      </c>
      <c r="B229" s="19" t="str">
        <f aca="false">'Client-Product Master'!C34</f>
        <v>HOPR WEIGHING system</v>
      </c>
      <c r="C229" s="20" t="n">
        <f aca="false">'Client-Product Master'!E34</f>
        <v>0</v>
      </c>
      <c r="D229" s="8" t="n">
        <v>4</v>
      </c>
      <c r="E229" s="21" t="n">
        <f aca="false">INDEX('AMC &amp; Spares % Assumptions'!$B$5:$B$11, D229)</f>
        <v>0.055</v>
      </c>
      <c r="F229" s="22" t="n">
        <f aca="false">C229*E229</f>
        <v>0</v>
      </c>
      <c r="G229" s="21" t="n">
        <f aca="false">INDEX('AMC &amp; Spares % Assumptions'!$C$5:$C$11, D229)</f>
        <v>0.06</v>
      </c>
      <c r="H229" s="22" t="n">
        <f aca="false">C229*G229</f>
        <v>0</v>
      </c>
      <c r="I229" s="23" t="n">
        <f aca="false">F229+H229</f>
        <v>0</v>
      </c>
    </row>
    <row r="230" customFormat="false" ht="15" hidden="false" customHeight="false" outlineLevel="0" collapsed="false">
      <c r="A230" s="19" t="str">
        <f aca="false">'Client-Product Master'!B34</f>
        <v>Bhushan Power &amp; Steel Limited</v>
      </c>
      <c r="B230" s="19" t="str">
        <f aca="false">'Client-Product Master'!C34</f>
        <v>HOPR WEIGHING system</v>
      </c>
      <c r="C230" s="20" t="n">
        <f aca="false">'Client-Product Master'!E34</f>
        <v>0</v>
      </c>
      <c r="D230" s="8" t="n">
        <v>5</v>
      </c>
      <c r="E230" s="21" t="n">
        <f aca="false">INDEX('AMC &amp; Spares % Assumptions'!$B$5:$B$11, D230)</f>
        <v>0.06</v>
      </c>
      <c r="F230" s="22" t="n">
        <f aca="false">C230*E230</f>
        <v>0</v>
      </c>
      <c r="G230" s="21" t="n">
        <f aca="false">INDEX('AMC &amp; Spares % Assumptions'!$C$5:$C$11, D230)</f>
        <v>0.075</v>
      </c>
      <c r="H230" s="22" t="n">
        <f aca="false">C230*G230</f>
        <v>0</v>
      </c>
      <c r="I230" s="23" t="n">
        <f aca="false">F230+H230</f>
        <v>0</v>
      </c>
    </row>
    <row r="231" customFormat="false" ht="15" hidden="false" customHeight="false" outlineLevel="0" collapsed="false">
      <c r="A231" s="19" t="str">
        <f aca="false">'Client-Product Master'!B34</f>
        <v>Bhushan Power &amp; Steel Limited</v>
      </c>
      <c r="B231" s="19" t="str">
        <f aca="false">'Client-Product Master'!C34</f>
        <v>HOPR WEIGHING system</v>
      </c>
      <c r="C231" s="20" t="n">
        <f aca="false">'Client-Product Master'!E34</f>
        <v>0</v>
      </c>
      <c r="D231" s="8" t="n">
        <v>6</v>
      </c>
      <c r="E231" s="21" t="n">
        <f aca="false">INDEX('AMC &amp; Spares % Assumptions'!$B$5:$B$11, D231)</f>
        <v>0.065</v>
      </c>
      <c r="F231" s="22" t="n">
        <f aca="false">C231*E231</f>
        <v>0</v>
      </c>
      <c r="G231" s="21" t="n">
        <f aca="false">INDEX('AMC &amp; Spares % Assumptions'!$C$5:$C$11, D231)</f>
        <v>0.085</v>
      </c>
      <c r="H231" s="22" t="n">
        <f aca="false">C231*G231</f>
        <v>0</v>
      </c>
      <c r="I231" s="23" t="n">
        <f aca="false">F231+H231</f>
        <v>0</v>
      </c>
    </row>
    <row r="232" customFormat="false" ht="15" hidden="false" customHeight="false" outlineLevel="0" collapsed="false">
      <c r="A232" s="19" t="str">
        <f aca="false">'Client-Product Master'!B34</f>
        <v>Bhushan Power &amp; Steel Limited</v>
      </c>
      <c r="B232" s="19" t="str">
        <f aca="false">'Client-Product Master'!C34</f>
        <v>HOPR WEIGHING system</v>
      </c>
      <c r="C232" s="20" t="n">
        <f aca="false">'Client-Product Master'!E34</f>
        <v>0</v>
      </c>
      <c r="D232" s="8" t="n">
        <v>7</v>
      </c>
      <c r="E232" s="21" t="n">
        <f aca="false">INDEX('AMC &amp; Spares % Assumptions'!$B$5:$B$11, D232)</f>
        <v>0.07</v>
      </c>
      <c r="F232" s="22" t="n">
        <f aca="false">C232*E232</f>
        <v>0</v>
      </c>
      <c r="G232" s="21" t="n">
        <f aca="false">INDEX('AMC &amp; Spares % Assumptions'!$C$5:$C$11, D232)</f>
        <v>0.095</v>
      </c>
      <c r="H232" s="22" t="n">
        <f aca="false">C232*G232</f>
        <v>0</v>
      </c>
      <c r="I232" s="23" t="n">
        <f aca="false">F232+H232</f>
        <v>0</v>
      </c>
    </row>
    <row r="233" customFormat="false" ht="15" hidden="false" customHeight="false" outlineLevel="0" collapsed="false">
      <c r="A233" s="19" t="str">
        <f aca="false">'Client-Product Master'!B35</f>
        <v>EVONITH METALLICS LIMITED</v>
      </c>
      <c r="B233" s="19" t="str">
        <f aca="false">'Client-Product Master'!C35</f>
        <v>Ladle Weighing system</v>
      </c>
      <c r="C233" s="20" t="n">
        <f aca="false">'Client-Product Master'!E35</f>
        <v>0</v>
      </c>
      <c r="D233" s="8" t="n">
        <v>1</v>
      </c>
      <c r="E233" s="21" t="n">
        <f aca="false">INDEX('AMC &amp; Spares % Assumptions'!$B$5:$B$11, D233)</f>
        <v>0.015</v>
      </c>
      <c r="F233" s="22" t="n">
        <f aca="false">C233*E233</f>
        <v>0</v>
      </c>
      <c r="G233" s="21" t="n">
        <f aca="false">INDEX('AMC &amp; Spares % Assumptions'!$C$5:$C$11, D233)</f>
        <v>0.01</v>
      </c>
      <c r="H233" s="22" t="n">
        <f aca="false">C233*G233</f>
        <v>0</v>
      </c>
      <c r="I233" s="23" t="n">
        <f aca="false">F233+H233</f>
        <v>0</v>
      </c>
    </row>
    <row r="234" customFormat="false" ht="15" hidden="false" customHeight="false" outlineLevel="0" collapsed="false">
      <c r="A234" s="19" t="str">
        <f aca="false">'Client-Product Master'!B35</f>
        <v>EVONITH METALLICS LIMITED</v>
      </c>
      <c r="B234" s="19" t="str">
        <f aca="false">'Client-Product Master'!C35</f>
        <v>Ladle Weighing system</v>
      </c>
      <c r="C234" s="20" t="n">
        <f aca="false">'Client-Product Master'!E35</f>
        <v>0</v>
      </c>
      <c r="D234" s="8" t="n">
        <v>2</v>
      </c>
      <c r="E234" s="21" t="n">
        <f aca="false">INDEX('AMC &amp; Spares % Assumptions'!$B$5:$B$11, D234)</f>
        <v>0.03</v>
      </c>
      <c r="F234" s="22" t="n">
        <f aca="false">C234*E234</f>
        <v>0</v>
      </c>
      <c r="G234" s="21" t="n">
        <f aca="false">INDEX('AMC &amp; Spares % Assumptions'!$C$5:$C$11, D234)</f>
        <v>0.025</v>
      </c>
      <c r="H234" s="22" t="n">
        <f aca="false">C234*G234</f>
        <v>0</v>
      </c>
      <c r="I234" s="23" t="n">
        <f aca="false">F234+H234</f>
        <v>0</v>
      </c>
    </row>
    <row r="235" customFormat="false" ht="15" hidden="false" customHeight="false" outlineLevel="0" collapsed="false">
      <c r="A235" s="19" t="str">
        <f aca="false">'Client-Product Master'!B35</f>
        <v>EVONITH METALLICS LIMITED</v>
      </c>
      <c r="B235" s="19" t="str">
        <f aca="false">'Client-Product Master'!C35</f>
        <v>Ladle Weighing system</v>
      </c>
      <c r="C235" s="20" t="n">
        <f aca="false">'Client-Product Master'!E35</f>
        <v>0</v>
      </c>
      <c r="D235" s="8" t="n">
        <v>3</v>
      </c>
      <c r="E235" s="21" t="n">
        <f aca="false">INDEX('AMC &amp; Spares % Assumptions'!$B$5:$B$11, D235)</f>
        <v>0.045</v>
      </c>
      <c r="F235" s="22" t="n">
        <f aca="false">C235*E235</f>
        <v>0</v>
      </c>
      <c r="G235" s="21" t="n">
        <f aca="false">INDEX('AMC &amp; Spares % Assumptions'!$C$5:$C$11, D235)</f>
        <v>0.045</v>
      </c>
      <c r="H235" s="22" t="n">
        <f aca="false">C235*G235</f>
        <v>0</v>
      </c>
      <c r="I235" s="23" t="n">
        <f aca="false">F235+H235</f>
        <v>0</v>
      </c>
    </row>
    <row r="236" customFormat="false" ht="15" hidden="false" customHeight="false" outlineLevel="0" collapsed="false">
      <c r="A236" s="19" t="str">
        <f aca="false">'Client-Product Master'!B35</f>
        <v>EVONITH METALLICS LIMITED</v>
      </c>
      <c r="B236" s="19" t="str">
        <f aca="false">'Client-Product Master'!C35</f>
        <v>Ladle Weighing system</v>
      </c>
      <c r="C236" s="20" t="n">
        <f aca="false">'Client-Product Master'!E35</f>
        <v>0</v>
      </c>
      <c r="D236" s="8" t="n">
        <v>4</v>
      </c>
      <c r="E236" s="21" t="n">
        <f aca="false">INDEX('AMC &amp; Spares % Assumptions'!$B$5:$B$11, D236)</f>
        <v>0.055</v>
      </c>
      <c r="F236" s="22" t="n">
        <f aca="false">C236*E236</f>
        <v>0</v>
      </c>
      <c r="G236" s="21" t="n">
        <f aca="false">INDEX('AMC &amp; Spares % Assumptions'!$C$5:$C$11, D236)</f>
        <v>0.06</v>
      </c>
      <c r="H236" s="22" t="n">
        <f aca="false">C236*G236</f>
        <v>0</v>
      </c>
      <c r="I236" s="23" t="n">
        <f aca="false">F236+H236</f>
        <v>0</v>
      </c>
    </row>
    <row r="237" customFormat="false" ht="15" hidden="false" customHeight="false" outlineLevel="0" collapsed="false">
      <c r="A237" s="19" t="str">
        <f aca="false">'Client-Product Master'!B35</f>
        <v>EVONITH METALLICS LIMITED</v>
      </c>
      <c r="B237" s="19" t="str">
        <f aca="false">'Client-Product Master'!C35</f>
        <v>Ladle Weighing system</v>
      </c>
      <c r="C237" s="20" t="n">
        <f aca="false">'Client-Product Master'!E35</f>
        <v>0</v>
      </c>
      <c r="D237" s="8" t="n">
        <v>5</v>
      </c>
      <c r="E237" s="21" t="n">
        <f aca="false">INDEX('AMC &amp; Spares % Assumptions'!$B$5:$B$11, D237)</f>
        <v>0.06</v>
      </c>
      <c r="F237" s="22" t="n">
        <f aca="false">C237*E237</f>
        <v>0</v>
      </c>
      <c r="G237" s="21" t="n">
        <f aca="false">INDEX('AMC &amp; Spares % Assumptions'!$C$5:$C$11, D237)</f>
        <v>0.075</v>
      </c>
      <c r="H237" s="22" t="n">
        <f aca="false">C237*G237</f>
        <v>0</v>
      </c>
      <c r="I237" s="23" t="n">
        <f aca="false">F237+H237</f>
        <v>0</v>
      </c>
    </row>
    <row r="238" customFormat="false" ht="15" hidden="false" customHeight="false" outlineLevel="0" collapsed="false">
      <c r="A238" s="19" t="str">
        <f aca="false">'Client-Product Master'!B35</f>
        <v>EVONITH METALLICS LIMITED</v>
      </c>
      <c r="B238" s="19" t="str">
        <f aca="false">'Client-Product Master'!C35</f>
        <v>Ladle Weighing system</v>
      </c>
      <c r="C238" s="20" t="n">
        <f aca="false">'Client-Product Master'!E35</f>
        <v>0</v>
      </c>
      <c r="D238" s="8" t="n">
        <v>6</v>
      </c>
      <c r="E238" s="21" t="n">
        <f aca="false">INDEX('AMC &amp; Spares % Assumptions'!$B$5:$B$11, D238)</f>
        <v>0.065</v>
      </c>
      <c r="F238" s="22" t="n">
        <f aca="false">C238*E238</f>
        <v>0</v>
      </c>
      <c r="G238" s="21" t="n">
        <f aca="false">INDEX('AMC &amp; Spares % Assumptions'!$C$5:$C$11, D238)</f>
        <v>0.085</v>
      </c>
      <c r="H238" s="22" t="n">
        <f aca="false">C238*G238</f>
        <v>0</v>
      </c>
      <c r="I238" s="23" t="n">
        <f aca="false">F238+H238</f>
        <v>0</v>
      </c>
    </row>
    <row r="239" customFormat="false" ht="15" hidden="false" customHeight="false" outlineLevel="0" collapsed="false">
      <c r="A239" s="19" t="str">
        <f aca="false">'Client-Product Master'!B35</f>
        <v>EVONITH METALLICS LIMITED</v>
      </c>
      <c r="B239" s="19" t="str">
        <f aca="false">'Client-Product Master'!C35</f>
        <v>Ladle Weighing system</v>
      </c>
      <c r="C239" s="20" t="n">
        <f aca="false">'Client-Product Master'!E35</f>
        <v>0</v>
      </c>
      <c r="D239" s="8" t="n">
        <v>7</v>
      </c>
      <c r="E239" s="21" t="n">
        <f aca="false">INDEX('AMC &amp; Spares % Assumptions'!$B$5:$B$11, D239)</f>
        <v>0.07</v>
      </c>
      <c r="F239" s="22" t="n">
        <f aca="false">C239*E239</f>
        <v>0</v>
      </c>
      <c r="G239" s="21" t="n">
        <f aca="false">INDEX('AMC &amp; Spares % Assumptions'!$C$5:$C$11, D239)</f>
        <v>0.095</v>
      </c>
      <c r="H239" s="22" t="n">
        <f aca="false">C239*G239</f>
        <v>0</v>
      </c>
      <c r="I239" s="23" t="n">
        <f aca="false">F239+H239</f>
        <v>0</v>
      </c>
    </row>
    <row r="240" customFormat="false" ht="15" hidden="false" customHeight="false" outlineLevel="0" collapsed="false">
      <c r="A240" s="19" t="str">
        <f aca="false">'Client-Product Master'!B36</f>
        <v>JSW Steel Limited</v>
      </c>
      <c r="B240" s="19" t="str">
        <f aca="false">'Client-Product Master'!C36</f>
        <v>Hot metal transfer car weighing system 300 T</v>
      </c>
      <c r="C240" s="20" t="n">
        <f aca="false">'Client-Product Master'!E36</f>
        <v>0</v>
      </c>
      <c r="D240" s="8" t="n">
        <v>1</v>
      </c>
      <c r="E240" s="21" t="n">
        <f aca="false">INDEX('AMC &amp; Spares % Assumptions'!$B$5:$B$11, D240)</f>
        <v>0.015</v>
      </c>
      <c r="F240" s="22" t="n">
        <f aca="false">C240*E240</f>
        <v>0</v>
      </c>
      <c r="G240" s="21" t="n">
        <f aca="false">INDEX('AMC &amp; Spares % Assumptions'!$C$5:$C$11, D240)</f>
        <v>0.01</v>
      </c>
      <c r="H240" s="22" t="n">
        <f aca="false">C240*G240</f>
        <v>0</v>
      </c>
      <c r="I240" s="23" t="n">
        <f aca="false">F240+H240</f>
        <v>0</v>
      </c>
    </row>
    <row r="241" customFormat="false" ht="15" hidden="false" customHeight="false" outlineLevel="0" collapsed="false">
      <c r="A241" s="19" t="str">
        <f aca="false">'Client-Product Master'!B36</f>
        <v>JSW Steel Limited</v>
      </c>
      <c r="B241" s="19" t="str">
        <f aca="false">'Client-Product Master'!C36</f>
        <v>Hot metal transfer car weighing system 300 T</v>
      </c>
      <c r="C241" s="20" t="n">
        <f aca="false">'Client-Product Master'!E36</f>
        <v>0</v>
      </c>
      <c r="D241" s="8" t="n">
        <v>2</v>
      </c>
      <c r="E241" s="21" t="n">
        <f aca="false">INDEX('AMC &amp; Spares % Assumptions'!$B$5:$B$11, D241)</f>
        <v>0.03</v>
      </c>
      <c r="F241" s="22" t="n">
        <f aca="false">C241*E241</f>
        <v>0</v>
      </c>
      <c r="G241" s="21" t="n">
        <f aca="false">INDEX('AMC &amp; Spares % Assumptions'!$C$5:$C$11, D241)</f>
        <v>0.025</v>
      </c>
      <c r="H241" s="22" t="n">
        <f aca="false">C241*G241</f>
        <v>0</v>
      </c>
      <c r="I241" s="23" t="n">
        <f aca="false">F241+H241</f>
        <v>0</v>
      </c>
    </row>
    <row r="242" customFormat="false" ht="15" hidden="false" customHeight="false" outlineLevel="0" collapsed="false">
      <c r="A242" s="19" t="str">
        <f aca="false">'Client-Product Master'!B36</f>
        <v>JSW Steel Limited</v>
      </c>
      <c r="B242" s="19" t="str">
        <f aca="false">'Client-Product Master'!C36</f>
        <v>Hot metal transfer car weighing system 300 T</v>
      </c>
      <c r="C242" s="20" t="n">
        <f aca="false">'Client-Product Master'!E36</f>
        <v>0</v>
      </c>
      <c r="D242" s="8" t="n">
        <v>3</v>
      </c>
      <c r="E242" s="21" t="n">
        <f aca="false">INDEX('AMC &amp; Spares % Assumptions'!$B$5:$B$11, D242)</f>
        <v>0.045</v>
      </c>
      <c r="F242" s="22" t="n">
        <f aca="false">C242*E242</f>
        <v>0</v>
      </c>
      <c r="G242" s="21" t="n">
        <f aca="false">INDEX('AMC &amp; Spares % Assumptions'!$C$5:$C$11, D242)</f>
        <v>0.045</v>
      </c>
      <c r="H242" s="22" t="n">
        <f aca="false">C242*G242</f>
        <v>0</v>
      </c>
      <c r="I242" s="23" t="n">
        <f aca="false">F242+H242</f>
        <v>0</v>
      </c>
    </row>
    <row r="243" customFormat="false" ht="15" hidden="false" customHeight="false" outlineLevel="0" collapsed="false">
      <c r="A243" s="19" t="str">
        <f aca="false">'Client-Product Master'!B36</f>
        <v>JSW Steel Limited</v>
      </c>
      <c r="B243" s="19" t="str">
        <f aca="false">'Client-Product Master'!C36</f>
        <v>Hot metal transfer car weighing system 300 T</v>
      </c>
      <c r="C243" s="20" t="n">
        <f aca="false">'Client-Product Master'!E36</f>
        <v>0</v>
      </c>
      <c r="D243" s="8" t="n">
        <v>4</v>
      </c>
      <c r="E243" s="21" t="n">
        <f aca="false">INDEX('AMC &amp; Spares % Assumptions'!$B$5:$B$11, D243)</f>
        <v>0.055</v>
      </c>
      <c r="F243" s="22" t="n">
        <f aca="false">C243*E243</f>
        <v>0</v>
      </c>
      <c r="G243" s="21" t="n">
        <f aca="false">INDEX('AMC &amp; Spares % Assumptions'!$C$5:$C$11, D243)</f>
        <v>0.06</v>
      </c>
      <c r="H243" s="22" t="n">
        <f aca="false">C243*G243</f>
        <v>0</v>
      </c>
      <c r="I243" s="23" t="n">
        <f aca="false">F243+H243</f>
        <v>0</v>
      </c>
    </row>
    <row r="244" customFormat="false" ht="15" hidden="false" customHeight="false" outlineLevel="0" collapsed="false">
      <c r="A244" s="19" t="str">
        <f aca="false">'Client-Product Master'!B36</f>
        <v>JSW Steel Limited</v>
      </c>
      <c r="B244" s="19" t="str">
        <f aca="false">'Client-Product Master'!C36</f>
        <v>Hot metal transfer car weighing system 300 T</v>
      </c>
      <c r="C244" s="20" t="n">
        <f aca="false">'Client-Product Master'!E36</f>
        <v>0</v>
      </c>
      <c r="D244" s="8" t="n">
        <v>5</v>
      </c>
      <c r="E244" s="21" t="n">
        <f aca="false">INDEX('AMC &amp; Spares % Assumptions'!$B$5:$B$11, D244)</f>
        <v>0.06</v>
      </c>
      <c r="F244" s="22" t="n">
        <f aca="false">C244*E244</f>
        <v>0</v>
      </c>
      <c r="G244" s="21" t="n">
        <f aca="false">INDEX('AMC &amp; Spares % Assumptions'!$C$5:$C$11, D244)</f>
        <v>0.075</v>
      </c>
      <c r="H244" s="22" t="n">
        <f aca="false">C244*G244</f>
        <v>0</v>
      </c>
      <c r="I244" s="23" t="n">
        <f aca="false">F244+H244</f>
        <v>0</v>
      </c>
    </row>
    <row r="245" customFormat="false" ht="15" hidden="false" customHeight="false" outlineLevel="0" collapsed="false">
      <c r="A245" s="19" t="str">
        <f aca="false">'Client-Product Master'!B36</f>
        <v>JSW Steel Limited</v>
      </c>
      <c r="B245" s="19" t="str">
        <f aca="false">'Client-Product Master'!C36</f>
        <v>Hot metal transfer car weighing system 300 T</v>
      </c>
      <c r="C245" s="20" t="n">
        <f aca="false">'Client-Product Master'!E36</f>
        <v>0</v>
      </c>
      <c r="D245" s="8" t="n">
        <v>6</v>
      </c>
      <c r="E245" s="21" t="n">
        <f aca="false">INDEX('AMC &amp; Spares % Assumptions'!$B$5:$B$11, D245)</f>
        <v>0.065</v>
      </c>
      <c r="F245" s="22" t="n">
        <f aca="false">C245*E245</f>
        <v>0</v>
      </c>
      <c r="G245" s="21" t="n">
        <f aca="false">INDEX('AMC &amp; Spares % Assumptions'!$C$5:$C$11, D245)</f>
        <v>0.085</v>
      </c>
      <c r="H245" s="22" t="n">
        <f aca="false">C245*G245</f>
        <v>0</v>
      </c>
      <c r="I245" s="23" t="n">
        <f aca="false">F245+H245</f>
        <v>0</v>
      </c>
    </row>
    <row r="246" customFormat="false" ht="15" hidden="false" customHeight="false" outlineLevel="0" collapsed="false">
      <c r="A246" s="19" t="str">
        <f aca="false">'Client-Product Master'!B36</f>
        <v>JSW Steel Limited</v>
      </c>
      <c r="B246" s="19" t="str">
        <f aca="false">'Client-Product Master'!C36</f>
        <v>Hot metal transfer car weighing system 300 T</v>
      </c>
      <c r="C246" s="20" t="n">
        <f aca="false">'Client-Product Master'!E36</f>
        <v>0</v>
      </c>
      <c r="D246" s="8" t="n">
        <v>7</v>
      </c>
      <c r="E246" s="21" t="n">
        <f aca="false">INDEX('AMC &amp; Spares % Assumptions'!$B$5:$B$11, D246)</f>
        <v>0.07</v>
      </c>
      <c r="F246" s="22" t="n">
        <f aca="false">C246*E246</f>
        <v>0</v>
      </c>
      <c r="G246" s="21" t="n">
        <f aca="false">INDEX('AMC &amp; Spares % Assumptions'!$C$5:$C$11, D246)</f>
        <v>0.095</v>
      </c>
      <c r="H246" s="22" t="n">
        <f aca="false">C246*G246</f>
        <v>0</v>
      </c>
      <c r="I246" s="23" t="n">
        <f aca="false">F246+H246</f>
        <v>0</v>
      </c>
    </row>
    <row r="247" customFormat="false" ht="15" hidden="false" customHeight="false" outlineLevel="0" collapsed="false">
      <c r="A247" s="19" t="str">
        <f aca="false">'Client-Product Master'!B37</f>
        <v>Neco Mining Company Private Limited</v>
      </c>
      <c r="B247" s="19" t="str">
        <f aca="false">'Client-Product Master'!C37</f>
        <v>HOPPER WEIGHING SYSTEM -300T</v>
      </c>
      <c r="C247" s="20" t="n">
        <f aca="false">'Client-Product Master'!E37</f>
        <v>0</v>
      </c>
      <c r="D247" s="8" t="n">
        <v>1</v>
      </c>
      <c r="E247" s="21" t="n">
        <f aca="false">INDEX('AMC &amp; Spares % Assumptions'!$B$5:$B$11, D247)</f>
        <v>0.015</v>
      </c>
      <c r="F247" s="22" t="n">
        <f aca="false">C247*E247</f>
        <v>0</v>
      </c>
      <c r="G247" s="21" t="n">
        <f aca="false">INDEX('AMC &amp; Spares % Assumptions'!$C$5:$C$11, D247)</f>
        <v>0.01</v>
      </c>
      <c r="H247" s="22" t="n">
        <f aca="false">C247*G247</f>
        <v>0</v>
      </c>
      <c r="I247" s="23" t="n">
        <f aca="false">F247+H247</f>
        <v>0</v>
      </c>
    </row>
    <row r="248" customFormat="false" ht="15" hidden="false" customHeight="false" outlineLevel="0" collapsed="false">
      <c r="A248" s="19" t="str">
        <f aca="false">'Client-Product Master'!B37</f>
        <v>Neco Mining Company Private Limited</v>
      </c>
      <c r="B248" s="19" t="str">
        <f aca="false">'Client-Product Master'!C37</f>
        <v>HOPPER WEIGHING SYSTEM -300T</v>
      </c>
      <c r="C248" s="20" t="n">
        <f aca="false">'Client-Product Master'!E37</f>
        <v>0</v>
      </c>
      <c r="D248" s="8" t="n">
        <v>2</v>
      </c>
      <c r="E248" s="21" t="n">
        <f aca="false">INDEX('AMC &amp; Spares % Assumptions'!$B$5:$B$11, D248)</f>
        <v>0.03</v>
      </c>
      <c r="F248" s="22" t="n">
        <f aca="false">C248*E248</f>
        <v>0</v>
      </c>
      <c r="G248" s="21" t="n">
        <f aca="false">INDEX('AMC &amp; Spares % Assumptions'!$C$5:$C$11, D248)</f>
        <v>0.025</v>
      </c>
      <c r="H248" s="22" t="n">
        <f aca="false">C248*G248</f>
        <v>0</v>
      </c>
      <c r="I248" s="23" t="n">
        <f aca="false">F248+H248</f>
        <v>0</v>
      </c>
    </row>
    <row r="249" customFormat="false" ht="15" hidden="false" customHeight="false" outlineLevel="0" collapsed="false">
      <c r="A249" s="19" t="str">
        <f aca="false">'Client-Product Master'!B37</f>
        <v>Neco Mining Company Private Limited</v>
      </c>
      <c r="B249" s="19" t="str">
        <f aca="false">'Client-Product Master'!C37</f>
        <v>HOPPER WEIGHING SYSTEM -300T</v>
      </c>
      <c r="C249" s="20" t="n">
        <f aca="false">'Client-Product Master'!E37</f>
        <v>0</v>
      </c>
      <c r="D249" s="8" t="n">
        <v>3</v>
      </c>
      <c r="E249" s="21" t="n">
        <f aca="false">INDEX('AMC &amp; Spares % Assumptions'!$B$5:$B$11, D249)</f>
        <v>0.045</v>
      </c>
      <c r="F249" s="22" t="n">
        <f aca="false">C249*E249</f>
        <v>0</v>
      </c>
      <c r="G249" s="21" t="n">
        <f aca="false">INDEX('AMC &amp; Spares % Assumptions'!$C$5:$C$11, D249)</f>
        <v>0.045</v>
      </c>
      <c r="H249" s="22" t="n">
        <f aca="false">C249*G249</f>
        <v>0</v>
      </c>
      <c r="I249" s="23" t="n">
        <f aca="false">F249+H249</f>
        <v>0</v>
      </c>
    </row>
    <row r="250" customFormat="false" ht="15" hidden="false" customHeight="false" outlineLevel="0" collapsed="false">
      <c r="A250" s="19" t="str">
        <f aca="false">'Client-Product Master'!B37</f>
        <v>Neco Mining Company Private Limited</v>
      </c>
      <c r="B250" s="19" t="str">
        <f aca="false">'Client-Product Master'!C37</f>
        <v>HOPPER WEIGHING SYSTEM -300T</v>
      </c>
      <c r="C250" s="20" t="n">
        <f aca="false">'Client-Product Master'!E37</f>
        <v>0</v>
      </c>
      <c r="D250" s="8" t="n">
        <v>4</v>
      </c>
      <c r="E250" s="21" t="n">
        <f aca="false">INDEX('AMC &amp; Spares % Assumptions'!$B$5:$B$11, D250)</f>
        <v>0.055</v>
      </c>
      <c r="F250" s="22" t="n">
        <f aca="false">C250*E250</f>
        <v>0</v>
      </c>
      <c r="G250" s="21" t="n">
        <f aca="false">INDEX('AMC &amp; Spares % Assumptions'!$C$5:$C$11, D250)</f>
        <v>0.06</v>
      </c>
      <c r="H250" s="22" t="n">
        <f aca="false">C250*G250</f>
        <v>0</v>
      </c>
      <c r="I250" s="23" t="n">
        <f aca="false">F250+H250</f>
        <v>0</v>
      </c>
    </row>
    <row r="251" customFormat="false" ht="15" hidden="false" customHeight="false" outlineLevel="0" collapsed="false">
      <c r="A251" s="19" t="str">
        <f aca="false">'Client-Product Master'!B37</f>
        <v>Neco Mining Company Private Limited</v>
      </c>
      <c r="B251" s="19" t="str">
        <f aca="false">'Client-Product Master'!C37</f>
        <v>HOPPER WEIGHING SYSTEM -300T</v>
      </c>
      <c r="C251" s="20" t="n">
        <f aca="false">'Client-Product Master'!E37</f>
        <v>0</v>
      </c>
      <c r="D251" s="8" t="n">
        <v>5</v>
      </c>
      <c r="E251" s="21" t="n">
        <f aca="false">INDEX('AMC &amp; Spares % Assumptions'!$B$5:$B$11, D251)</f>
        <v>0.06</v>
      </c>
      <c r="F251" s="22" t="n">
        <f aca="false">C251*E251</f>
        <v>0</v>
      </c>
      <c r="G251" s="21" t="n">
        <f aca="false">INDEX('AMC &amp; Spares % Assumptions'!$C$5:$C$11, D251)</f>
        <v>0.075</v>
      </c>
      <c r="H251" s="22" t="n">
        <f aca="false">C251*G251</f>
        <v>0</v>
      </c>
      <c r="I251" s="23" t="n">
        <f aca="false">F251+H251</f>
        <v>0</v>
      </c>
    </row>
    <row r="252" customFormat="false" ht="15" hidden="false" customHeight="false" outlineLevel="0" collapsed="false">
      <c r="A252" s="19" t="str">
        <f aca="false">'Client-Product Master'!B37</f>
        <v>Neco Mining Company Private Limited</v>
      </c>
      <c r="B252" s="19" t="str">
        <f aca="false">'Client-Product Master'!C37</f>
        <v>HOPPER WEIGHING SYSTEM -300T</v>
      </c>
      <c r="C252" s="20" t="n">
        <f aca="false">'Client-Product Master'!E37</f>
        <v>0</v>
      </c>
      <c r="D252" s="8" t="n">
        <v>6</v>
      </c>
      <c r="E252" s="21" t="n">
        <f aca="false">INDEX('AMC &amp; Spares % Assumptions'!$B$5:$B$11, D252)</f>
        <v>0.065</v>
      </c>
      <c r="F252" s="22" t="n">
        <f aca="false">C252*E252</f>
        <v>0</v>
      </c>
      <c r="G252" s="21" t="n">
        <f aca="false">INDEX('AMC &amp; Spares % Assumptions'!$C$5:$C$11, D252)</f>
        <v>0.085</v>
      </c>
      <c r="H252" s="22" t="n">
        <f aca="false">C252*G252</f>
        <v>0</v>
      </c>
      <c r="I252" s="23" t="n">
        <f aca="false">F252+H252</f>
        <v>0</v>
      </c>
    </row>
    <row r="253" customFormat="false" ht="15" hidden="false" customHeight="false" outlineLevel="0" collapsed="false">
      <c r="A253" s="19" t="str">
        <f aca="false">'Client-Product Master'!B37</f>
        <v>Neco Mining Company Private Limited</v>
      </c>
      <c r="B253" s="19" t="str">
        <f aca="false">'Client-Product Master'!C37</f>
        <v>HOPPER WEIGHING SYSTEM -300T</v>
      </c>
      <c r="C253" s="20" t="n">
        <f aca="false">'Client-Product Master'!E37</f>
        <v>0</v>
      </c>
      <c r="D253" s="8" t="n">
        <v>7</v>
      </c>
      <c r="E253" s="21" t="n">
        <f aca="false">INDEX('AMC &amp; Spares % Assumptions'!$B$5:$B$11, D253)</f>
        <v>0.07</v>
      </c>
      <c r="F253" s="22" t="n">
        <f aca="false">C253*E253</f>
        <v>0</v>
      </c>
      <c r="G253" s="21" t="n">
        <f aca="false">INDEX('AMC &amp; Spares % Assumptions'!$C$5:$C$11, D253)</f>
        <v>0.095</v>
      </c>
      <c r="H253" s="22" t="n">
        <f aca="false">C253*G253</f>
        <v>0</v>
      </c>
      <c r="I253" s="23" t="n">
        <f aca="false">F253+H253</f>
        <v>0</v>
      </c>
    </row>
    <row r="254" customFormat="false" ht="15" hidden="false" customHeight="false" outlineLevel="0" collapsed="false">
      <c r="A254" s="19" t="str">
        <f aca="false">'Client-Product Master'!B38</f>
        <v>EVONITH VALUE STEEL LIMITED</v>
      </c>
      <c r="B254" s="19" t="str">
        <f aca="false">'Client-Product Master'!C38</f>
        <v>SAP integration charges along with service engineer service charges</v>
      </c>
      <c r="C254" s="20" t="n">
        <f aca="false">'Client-Product Master'!E38</f>
        <v>0</v>
      </c>
      <c r="D254" s="8" t="n">
        <v>1</v>
      </c>
      <c r="E254" s="21" t="n">
        <f aca="false">INDEX('AMC &amp; Spares % Assumptions'!$B$5:$B$11, D254)</f>
        <v>0.015</v>
      </c>
      <c r="F254" s="22" t="n">
        <f aca="false">C254*E254</f>
        <v>0</v>
      </c>
      <c r="G254" s="21" t="n">
        <f aca="false">INDEX('AMC &amp; Spares % Assumptions'!$C$5:$C$11, D254)</f>
        <v>0.01</v>
      </c>
      <c r="H254" s="22" t="n">
        <f aca="false">C254*G254</f>
        <v>0</v>
      </c>
      <c r="I254" s="23" t="n">
        <f aca="false">F254+H254</f>
        <v>0</v>
      </c>
    </row>
    <row r="255" customFormat="false" ht="15" hidden="false" customHeight="false" outlineLevel="0" collapsed="false">
      <c r="A255" s="19" t="str">
        <f aca="false">'Client-Product Master'!B38</f>
        <v>EVONITH VALUE STEEL LIMITED</v>
      </c>
      <c r="B255" s="19" t="str">
        <f aca="false">'Client-Product Master'!C38</f>
        <v>SAP integration charges along with service engineer service charges</v>
      </c>
      <c r="C255" s="20" t="n">
        <f aca="false">'Client-Product Master'!E38</f>
        <v>0</v>
      </c>
      <c r="D255" s="8" t="n">
        <v>2</v>
      </c>
      <c r="E255" s="21" t="n">
        <f aca="false">INDEX('AMC &amp; Spares % Assumptions'!$B$5:$B$11, D255)</f>
        <v>0.03</v>
      </c>
      <c r="F255" s="22" t="n">
        <f aca="false">C255*E255</f>
        <v>0</v>
      </c>
      <c r="G255" s="21" t="n">
        <f aca="false">INDEX('AMC &amp; Spares % Assumptions'!$C$5:$C$11, D255)</f>
        <v>0.025</v>
      </c>
      <c r="H255" s="22" t="n">
        <f aca="false">C255*G255</f>
        <v>0</v>
      </c>
      <c r="I255" s="23" t="n">
        <f aca="false">F255+H255</f>
        <v>0</v>
      </c>
    </row>
    <row r="256" customFormat="false" ht="15" hidden="false" customHeight="false" outlineLevel="0" collapsed="false">
      <c r="A256" s="19" t="str">
        <f aca="false">'Client-Product Master'!B38</f>
        <v>EVONITH VALUE STEEL LIMITED</v>
      </c>
      <c r="B256" s="19" t="str">
        <f aca="false">'Client-Product Master'!C38</f>
        <v>SAP integration charges along with service engineer service charges</v>
      </c>
      <c r="C256" s="20" t="n">
        <f aca="false">'Client-Product Master'!E38</f>
        <v>0</v>
      </c>
      <c r="D256" s="8" t="n">
        <v>3</v>
      </c>
      <c r="E256" s="21" t="n">
        <f aca="false">INDEX('AMC &amp; Spares % Assumptions'!$B$5:$B$11, D256)</f>
        <v>0.045</v>
      </c>
      <c r="F256" s="22" t="n">
        <f aca="false">C256*E256</f>
        <v>0</v>
      </c>
      <c r="G256" s="21" t="n">
        <f aca="false">INDEX('AMC &amp; Spares % Assumptions'!$C$5:$C$11, D256)</f>
        <v>0.045</v>
      </c>
      <c r="H256" s="22" t="n">
        <f aca="false">C256*G256</f>
        <v>0</v>
      </c>
      <c r="I256" s="23" t="n">
        <f aca="false">F256+H256</f>
        <v>0</v>
      </c>
    </row>
    <row r="257" customFormat="false" ht="15" hidden="false" customHeight="false" outlineLevel="0" collapsed="false">
      <c r="A257" s="19" t="str">
        <f aca="false">'Client-Product Master'!B38</f>
        <v>EVONITH VALUE STEEL LIMITED</v>
      </c>
      <c r="B257" s="19" t="str">
        <f aca="false">'Client-Product Master'!C38</f>
        <v>SAP integration charges along with service engineer service charges</v>
      </c>
      <c r="C257" s="20" t="n">
        <f aca="false">'Client-Product Master'!E38</f>
        <v>0</v>
      </c>
      <c r="D257" s="8" t="n">
        <v>4</v>
      </c>
      <c r="E257" s="21" t="n">
        <f aca="false">INDEX('AMC &amp; Spares % Assumptions'!$B$5:$B$11, D257)</f>
        <v>0.055</v>
      </c>
      <c r="F257" s="22" t="n">
        <f aca="false">C257*E257</f>
        <v>0</v>
      </c>
      <c r="G257" s="21" t="n">
        <f aca="false">INDEX('AMC &amp; Spares % Assumptions'!$C$5:$C$11, D257)</f>
        <v>0.06</v>
      </c>
      <c r="H257" s="22" t="n">
        <f aca="false">C257*G257</f>
        <v>0</v>
      </c>
      <c r="I257" s="23" t="n">
        <f aca="false">F257+H257</f>
        <v>0</v>
      </c>
    </row>
    <row r="258" customFormat="false" ht="15" hidden="false" customHeight="false" outlineLevel="0" collapsed="false">
      <c r="A258" s="19" t="str">
        <f aca="false">'Client-Product Master'!B38</f>
        <v>EVONITH VALUE STEEL LIMITED</v>
      </c>
      <c r="B258" s="19" t="str">
        <f aca="false">'Client-Product Master'!C38</f>
        <v>SAP integration charges along with service engineer service charges</v>
      </c>
      <c r="C258" s="20" t="n">
        <f aca="false">'Client-Product Master'!E38</f>
        <v>0</v>
      </c>
      <c r="D258" s="8" t="n">
        <v>5</v>
      </c>
      <c r="E258" s="21" t="n">
        <f aca="false">INDEX('AMC &amp; Spares % Assumptions'!$B$5:$B$11, D258)</f>
        <v>0.06</v>
      </c>
      <c r="F258" s="22" t="n">
        <f aca="false">C258*E258</f>
        <v>0</v>
      </c>
      <c r="G258" s="21" t="n">
        <f aca="false">INDEX('AMC &amp; Spares % Assumptions'!$C$5:$C$11, D258)</f>
        <v>0.075</v>
      </c>
      <c r="H258" s="22" t="n">
        <f aca="false">C258*G258</f>
        <v>0</v>
      </c>
      <c r="I258" s="23" t="n">
        <f aca="false">F258+H258</f>
        <v>0</v>
      </c>
    </row>
    <row r="259" customFormat="false" ht="15" hidden="false" customHeight="false" outlineLevel="0" collapsed="false">
      <c r="A259" s="19" t="str">
        <f aca="false">'Client-Product Master'!B38</f>
        <v>EVONITH VALUE STEEL LIMITED</v>
      </c>
      <c r="B259" s="19" t="str">
        <f aca="false">'Client-Product Master'!C38</f>
        <v>SAP integration charges along with service engineer service charges</v>
      </c>
      <c r="C259" s="20" t="n">
        <f aca="false">'Client-Product Master'!E38</f>
        <v>0</v>
      </c>
      <c r="D259" s="8" t="n">
        <v>6</v>
      </c>
      <c r="E259" s="21" t="n">
        <f aca="false">INDEX('AMC &amp; Spares % Assumptions'!$B$5:$B$11, D259)</f>
        <v>0.065</v>
      </c>
      <c r="F259" s="22" t="n">
        <f aca="false">C259*E259</f>
        <v>0</v>
      </c>
      <c r="G259" s="21" t="n">
        <f aca="false">INDEX('AMC &amp; Spares % Assumptions'!$C$5:$C$11, D259)</f>
        <v>0.085</v>
      </c>
      <c r="H259" s="22" t="n">
        <f aca="false">C259*G259</f>
        <v>0</v>
      </c>
      <c r="I259" s="23" t="n">
        <f aca="false">F259+H259</f>
        <v>0</v>
      </c>
    </row>
    <row r="260" customFormat="false" ht="15" hidden="false" customHeight="false" outlineLevel="0" collapsed="false">
      <c r="A260" s="19" t="str">
        <f aca="false">'Client-Product Master'!B38</f>
        <v>EVONITH VALUE STEEL LIMITED</v>
      </c>
      <c r="B260" s="19" t="str">
        <f aca="false">'Client-Product Master'!C38</f>
        <v>SAP integration charges along with service engineer service charges</v>
      </c>
      <c r="C260" s="20" t="n">
        <f aca="false">'Client-Product Master'!E38</f>
        <v>0</v>
      </c>
      <c r="D260" s="8" t="n">
        <v>7</v>
      </c>
      <c r="E260" s="21" t="n">
        <f aca="false">INDEX('AMC &amp; Spares % Assumptions'!$B$5:$B$11, D260)</f>
        <v>0.07</v>
      </c>
      <c r="F260" s="22" t="n">
        <f aca="false">C260*E260</f>
        <v>0</v>
      </c>
      <c r="G260" s="21" t="n">
        <f aca="false">INDEX('AMC &amp; Spares % Assumptions'!$C$5:$C$11, D260)</f>
        <v>0.095</v>
      </c>
      <c r="H260" s="22" t="n">
        <f aca="false">C260*G260</f>
        <v>0</v>
      </c>
      <c r="I260" s="23" t="n">
        <f aca="false">F260+H260</f>
        <v>0</v>
      </c>
    </row>
    <row r="261" customFormat="false" ht="15" hidden="false" customHeight="false" outlineLevel="0" collapsed="false">
      <c r="A261" s="19" t="str">
        <f aca="false">'Client-Product Master'!B39</f>
        <v>Ultratech Cement Ltd, Unit- Maihar cement works</v>
      </c>
      <c r="B261" s="19" t="str">
        <f aca="false">'Client-Product Master'!C39</f>
        <v>(Product description not provided in source - confirm)</v>
      </c>
      <c r="C261" s="20" t="n">
        <f aca="false">'Client-Product Master'!E39</f>
        <v>550000</v>
      </c>
      <c r="D261" s="8" t="n">
        <v>1</v>
      </c>
      <c r="E261" s="21" t="n">
        <f aca="false">INDEX('AMC &amp; Spares % Assumptions'!$B$5:$B$11, D261)</f>
        <v>0.015</v>
      </c>
      <c r="F261" s="22" t="n">
        <f aca="false">C261*E261</f>
        <v>8250</v>
      </c>
      <c r="G261" s="21" t="n">
        <f aca="false">INDEX('AMC &amp; Spares % Assumptions'!$C$5:$C$11, D261)</f>
        <v>0.01</v>
      </c>
      <c r="H261" s="22" t="n">
        <f aca="false">C261*G261</f>
        <v>5500</v>
      </c>
      <c r="I261" s="23" t="n">
        <f aca="false">F261+H261</f>
        <v>13750</v>
      </c>
    </row>
    <row r="262" customFormat="false" ht="15" hidden="false" customHeight="false" outlineLevel="0" collapsed="false">
      <c r="A262" s="19" t="str">
        <f aca="false">'Client-Product Master'!B39</f>
        <v>Ultratech Cement Ltd, Unit- Maihar cement works</v>
      </c>
      <c r="B262" s="19" t="str">
        <f aca="false">'Client-Product Master'!C39</f>
        <v>(Product description not provided in source - confirm)</v>
      </c>
      <c r="C262" s="20" t="n">
        <f aca="false">'Client-Product Master'!E39</f>
        <v>550000</v>
      </c>
      <c r="D262" s="8" t="n">
        <v>2</v>
      </c>
      <c r="E262" s="21" t="n">
        <f aca="false">INDEX('AMC &amp; Spares % Assumptions'!$B$5:$B$11, D262)</f>
        <v>0.03</v>
      </c>
      <c r="F262" s="22" t="n">
        <f aca="false">C262*E262</f>
        <v>16500</v>
      </c>
      <c r="G262" s="21" t="n">
        <f aca="false">INDEX('AMC &amp; Spares % Assumptions'!$C$5:$C$11, D262)</f>
        <v>0.025</v>
      </c>
      <c r="H262" s="22" t="n">
        <f aca="false">C262*G262</f>
        <v>13750</v>
      </c>
      <c r="I262" s="23" t="n">
        <f aca="false">F262+H262</f>
        <v>30250</v>
      </c>
    </row>
    <row r="263" customFormat="false" ht="15" hidden="false" customHeight="false" outlineLevel="0" collapsed="false">
      <c r="A263" s="19" t="str">
        <f aca="false">'Client-Product Master'!B39</f>
        <v>Ultratech Cement Ltd, Unit- Maihar cement works</v>
      </c>
      <c r="B263" s="19" t="str">
        <f aca="false">'Client-Product Master'!C39</f>
        <v>(Product description not provided in source - confirm)</v>
      </c>
      <c r="C263" s="20" t="n">
        <f aca="false">'Client-Product Master'!E39</f>
        <v>550000</v>
      </c>
      <c r="D263" s="8" t="n">
        <v>3</v>
      </c>
      <c r="E263" s="21" t="n">
        <f aca="false">INDEX('AMC &amp; Spares % Assumptions'!$B$5:$B$11, D263)</f>
        <v>0.045</v>
      </c>
      <c r="F263" s="22" t="n">
        <f aca="false">C263*E263</f>
        <v>24750</v>
      </c>
      <c r="G263" s="21" t="n">
        <f aca="false">INDEX('AMC &amp; Spares % Assumptions'!$C$5:$C$11, D263)</f>
        <v>0.045</v>
      </c>
      <c r="H263" s="22" t="n">
        <f aca="false">C263*G263</f>
        <v>24750</v>
      </c>
      <c r="I263" s="23" t="n">
        <f aca="false">F263+H263</f>
        <v>49500</v>
      </c>
    </row>
    <row r="264" customFormat="false" ht="15" hidden="false" customHeight="false" outlineLevel="0" collapsed="false">
      <c r="A264" s="19" t="str">
        <f aca="false">'Client-Product Master'!B39</f>
        <v>Ultratech Cement Ltd, Unit- Maihar cement works</v>
      </c>
      <c r="B264" s="19" t="str">
        <f aca="false">'Client-Product Master'!C39</f>
        <v>(Product description not provided in source - confirm)</v>
      </c>
      <c r="C264" s="20" t="n">
        <f aca="false">'Client-Product Master'!E39</f>
        <v>550000</v>
      </c>
      <c r="D264" s="8" t="n">
        <v>4</v>
      </c>
      <c r="E264" s="21" t="n">
        <f aca="false">INDEX('AMC &amp; Spares % Assumptions'!$B$5:$B$11, D264)</f>
        <v>0.055</v>
      </c>
      <c r="F264" s="22" t="n">
        <f aca="false">C264*E264</f>
        <v>30250</v>
      </c>
      <c r="G264" s="21" t="n">
        <f aca="false">INDEX('AMC &amp; Spares % Assumptions'!$C$5:$C$11, D264)</f>
        <v>0.06</v>
      </c>
      <c r="H264" s="22" t="n">
        <f aca="false">C264*G264</f>
        <v>33000</v>
      </c>
      <c r="I264" s="23" t="n">
        <f aca="false">F264+H264</f>
        <v>63250</v>
      </c>
    </row>
    <row r="265" customFormat="false" ht="15" hidden="false" customHeight="false" outlineLevel="0" collapsed="false">
      <c r="A265" s="19" t="str">
        <f aca="false">'Client-Product Master'!B39</f>
        <v>Ultratech Cement Ltd, Unit- Maihar cement works</v>
      </c>
      <c r="B265" s="19" t="str">
        <f aca="false">'Client-Product Master'!C39</f>
        <v>(Product description not provided in source - confirm)</v>
      </c>
      <c r="C265" s="20" t="n">
        <f aca="false">'Client-Product Master'!E39</f>
        <v>550000</v>
      </c>
      <c r="D265" s="8" t="n">
        <v>5</v>
      </c>
      <c r="E265" s="21" t="n">
        <f aca="false">INDEX('AMC &amp; Spares % Assumptions'!$B$5:$B$11, D265)</f>
        <v>0.06</v>
      </c>
      <c r="F265" s="22" t="n">
        <f aca="false">C265*E265</f>
        <v>33000</v>
      </c>
      <c r="G265" s="21" t="n">
        <f aca="false">INDEX('AMC &amp; Spares % Assumptions'!$C$5:$C$11, D265)</f>
        <v>0.075</v>
      </c>
      <c r="H265" s="22" t="n">
        <f aca="false">C265*G265</f>
        <v>41250</v>
      </c>
      <c r="I265" s="23" t="n">
        <f aca="false">F265+H265</f>
        <v>74250</v>
      </c>
    </row>
    <row r="266" customFormat="false" ht="15" hidden="false" customHeight="false" outlineLevel="0" collapsed="false">
      <c r="A266" s="19" t="str">
        <f aca="false">'Client-Product Master'!B39</f>
        <v>Ultratech Cement Ltd, Unit- Maihar cement works</v>
      </c>
      <c r="B266" s="19" t="str">
        <f aca="false">'Client-Product Master'!C39</f>
        <v>(Product description not provided in source - confirm)</v>
      </c>
      <c r="C266" s="20" t="n">
        <f aca="false">'Client-Product Master'!E39</f>
        <v>550000</v>
      </c>
      <c r="D266" s="8" t="n">
        <v>6</v>
      </c>
      <c r="E266" s="21" t="n">
        <f aca="false">INDEX('AMC &amp; Spares % Assumptions'!$B$5:$B$11, D266)</f>
        <v>0.065</v>
      </c>
      <c r="F266" s="22" t="n">
        <f aca="false">C266*E266</f>
        <v>35750</v>
      </c>
      <c r="G266" s="21" t="n">
        <f aca="false">INDEX('AMC &amp; Spares % Assumptions'!$C$5:$C$11, D266)</f>
        <v>0.085</v>
      </c>
      <c r="H266" s="22" t="n">
        <f aca="false">C266*G266</f>
        <v>46750</v>
      </c>
      <c r="I266" s="23" t="n">
        <f aca="false">F266+H266</f>
        <v>82500</v>
      </c>
    </row>
    <row r="267" customFormat="false" ht="15" hidden="false" customHeight="false" outlineLevel="0" collapsed="false">
      <c r="A267" s="19" t="str">
        <f aca="false">'Client-Product Master'!B39</f>
        <v>Ultratech Cement Ltd, Unit- Maihar cement works</v>
      </c>
      <c r="B267" s="19" t="str">
        <f aca="false">'Client-Product Master'!C39</f>
        <v>(Product description not provided in source - confirm)</v>
      </c>
      <c r="C267" s="20" t="n">
        <f aca="false">'Client-Product Master'!E39</f>
        <v>550000</v>
      </c>
      <c r="D267" s="8" t="n">
        <v>7</v>
      </c>
      <c r="E267" s="21" t="n">
        <f aca="false">INDEX('AMC &amp; Spares % Assumptions'!$B$5:$B$11, D267)</f>
        <v>0.07</v>
      </c>
      <c r="F267" s="22" t="n">
        <f aca="false">C267*E267</f>
        <v>38500</v>
      </c>
      <c r="G267" s="21" t="n">
        <f aca="false">INDEX('AMC &amp; Spares % Assumptions'!$C$5:$C$11, D267)</f>
        <v>0.095</v>
      </c>
      <c r="H267" s="22" t="n">
        <f aca="false">C267*G267</f>
        <v>52250</v>
      </c>
      <c r="I267" s="23" t="n">
        <f aca="false">F267+H267</f>
        <v>90750</v>
      </c>
    </row>
    <row r="268" customFormat="false" ht="15" hidden="false" customHeight="false" outlineLevel="0" collapsed="false">
      <c r="A268" s="19" t="str">
        <f aca="false">'Client-Product Master'!B40</f>
        <v>JINDAL STAINLESS LIMITED</v>
      </c>
      <c r="B268" s="19" t="str">
        <f aca="false">'Client-Product Master'!C40</f>
        <v>Junction Box</v>
      </c>
      <c r="C268" s="20" t="n">
        <f aca="false">'Client-Product Master'!E40</f>
        <v>22000</v>
      </c>
      <c r="D268" s="8" t="n">
        <v>1</v>
      </c>
      <c r="E268" s="21" t="n">
        <f aca="false">INDEX('AMC &amp; Spares % Assumptions'!$B$5:$B$11, D268)</f>
        <v>0.015</v>
      </c>
      <c r="F268" s="22" t="n">
        <f aca="false">C268*E268</f>
        <v>330</v>
      </c>
      <c r="G268" s="21" t="n">
        <f aca="false">INDEX('AMC &amp; Spares % Assumptions'!$C$5:$C$11, D268)</f>
        <v>0.01</v>
      </c>
      <c r="H268" s="22" t="n">
        <f aca="false">C268*G268</f>
        <v>220</v>
      </c>
      <c r="I268" s="23" t="n">
        <f aca="false">F268+H268</f>
        <v>550</v>
      </c>
    </row>
    <row r="269" customFormat="false" ht="15" hidden="false" customHeight="false" outlineLevel="0" collapsed="false">
      <c r="A269" s="19" t="str">
        <f aca="false">'Client-Product Master'!B40</f>
        <v>JINDAL STAINLESS LIMITED</v>
      </c>
      <c r="B269" s="19" t="str">
        <f aca="false">'Client-Product Master'!C40</f>
        <v>Junction Box</v>
      </c>
      <c r="C269" s="20" t="n">
        <f aca="false">'Client-Product Master'!E40</f>
        <v>22000</v>
      </c>
      <c r="D269" s="8" t="n">
        <v>2</v>
      </c>
      <c r="E269" s="21" t="n">
        <f aca="false">INDEX('AMC &amp; Spares % Assumptions'!$B$5:$B$11, D269)</f>
        <v>0.03</v>
      </c>
      <c r="F269" s="22" t="n">
        <f aca="false">C269*E269</f>
        <v>660</v>
      </c>
      <c r="G269" s="21" t="n">
        <f aca="false">INDEX('AMC &amp; Spares % Assumptions'!$C$5:$C$11, D269)</f>
        <v>0.025</v>
      </c>
      <c r="H269" s="22" t="n">
        <f aca="false">C269*G269</f>
        <v>550</v>
      </c>
      <c r="I269" s="23" t="n">
        <f aca="false">F269+H269</f>
        <v>1210</v>
      </c>
    </row>
    <row r="270" customFormat="false" ht="15" hidden="false" customHeight="false" outlineLevel="0" collapsed="false">
      <c r="A270" s="19" t="str">
        <f aca="false">'Client-Product Master'!B40</f>
        <v>JINDAL STAINLESS LIMITED</v>
      </c>
      <c r="B270" s="19" t="str">
        <f aca="false">'Client-Product Master'!C40</f>
        <v>Junction Box</v>
      </c>
      <c r="C270" s="20" t="n">
        <f aca="false">'Client-Product Master'!E40</f>
        <v>22000</v>
      </c>
      <c r="D270" s="8" t="n">
        <v>3</v>
      </c>
      <c r="E270" s="21" t="n">
        <f aca="false">INDEX('AMC &amp; Spares % Assumptions'!$B$5:$B$11, D270)</f>
        <v>0.045</v>
      </c>
      <c r="F270" s="22" t="n">
        <f aca="false">C270*E270</f>
        <v>990</v>
      </c>
      <c r="G270" s="21" t="n">
        <f aca="false">INDEX('AMC &amp; Spares % Assumptions'!$C$5:$C$11, D270)</f>
        <v>0.045</v>
      </c>
      <c r="H270" s="22" t="n">
        <f aca="false">C270*G270</f>
        <v>990</v>
      </c>
      <c r="I270" s="23" t="n">
        <f aca="false">F270+H270</f>
        <v>1980</v>
      </c>
    </row>
    <row r="271" customFormat="false" ht="15" hidden="false" customHeight="false" outlineLevel="0" collapsed="false">
      <c r="A271" s="19" t="str">
        <f aca="false">'Client-Product Master'!B40</f>
        <v>JINDAL STAINLESS LIMITED</v>
      </c>
      <c r="B271" s="19" t="str">
        <f aca="false">'Client-Product Master'!C40</f>
        <v>Junction Box</v>
      </c>
      <c r="C271" s="20" t="n">
        <f aca="false">'Client-Product Master'!E40</f>
        <v>22000</v>
      </c>
      <c r="D271" s="8" t="n">
        <v>4</v>
      </c>
      <c r="E271" s="21" t="n">
        <f aca="false">INDEX('AMC &amp; Spares % Assumptions'!$B$5:$B$11, D271)</f>
        <v>0.055</v>
      </c>
      <c r="F271" s="22" t="n">
        <f aca="false">C271*E271</f>
        <v>1210</v>
      </c>
      <c r="G271" s="21" t="n">
        <f aca="false">INDEX('AMC &amp; Spares % Assumptions'!$C$5:$C$11, D271)</f>
        <v>0.06</v>
      </c>
      <c r="H271" s="22" t="n">
        <f aca="false">C271*G271</f>
        <v>1320</v>
      </c>
      <c r="I271" s="23" t="n">
        <f aca="false">F271+H271</f>
        <v>2530</v>
      </c>
    </row>
    <row r="272" customFormat="false" ht="15" hidden="false" customHeight="false" outlineLevel="0" collapsed="false">
      <c r="A272" s="19" t="str">
        <f aca="false">'Client-Product Master'!B40</f>
        <v>JINDAL STAINLESS LIMITED</v>
      </c>
      <c r="B272" s="19" t="str">
        <f aca="false">'Client-Product Master'!C40</f>
        <v>Junction Box</v>
      </c>
      <c r="C272" s="20" t="n">
        <f aca="false">'Client-Product Master'!E40</f>
        <v>22000</v>
      </c>
      <c r="D272" s="8" t="n">
        <v>5</v>
      </c>
      <c r="E272" s="21" t="n">
        <f aca="false">INDEX('AMC &amp; Spares % Assumptions'!$B$5:$B$11, D272)</f>
        <v>0.06</v>
      </c>
      <c r="F272" s="22" t="n">
        <f aca="false">C272*E272</f>
        <v>1320</v>
      </c>
      <c r="G272" s="21" t="n">
        <f aca="false">INDEX('AMC &amp; Spares % Assumptions'!$C$5:$C$11, D272)</f>
        <v>0.075</v>
      </c>
      <c r="H272" s="22" t="n">
        <f aca="false">C272*G272</f>
        <v>1650</v>
      </c>
      <c r="I272" s="23" t="n">
        <f aca="false">F272+H272</f>
        <v>2970</v>
      </c>
    </row>
    <row r="273" customFormat="false" ht="15" hidden="false" customHeight="false" outlineLevel="0" collapsed="false">
      <c r="A273" s="19" t="str">
        <f aca="false">'Client-Product Master'!B40</f>
        <v>JINDAL STAINLESS LIMITED</v>
      </c>
      <c r="B273" s="19" t="str">
        <f aca="false">'Client-Product Master'!C40</f>
        <v>Junction Box</v>
      </c>
      <c r="C273" s="20" t="n">
        <f aca="false">'Client-Product Master'!E40</f>
        <v>22000</v>
      </c>
      <c r="D273" s="8" t="n">
        <v>6</v>
      </c>
      <c r="E273" s="21" t="n">
        <f aca="false">INDEX('AMC &amp; Spares % Assumptions'!$B$5:$B$11, D273)</f>
        <v>0.065</v>
      </c>
      <c r="F273" s="22" t="n">
        <f aca="false">C273*E273</f>
        <v>1430</v>
      </c>
      <c r="G273" s="21" t="n">
        <f aca="false">INDEX('AMC &amp; Spares % Assumptions'!$C$5:$C$11, D273)</f>
        <v>0.085</v>
      </c>
      <c r="H273" s="22" t="n">
        <f aca="false">C273*G273</f>
        <v>1870</v>
      </c>
      <c r="I273" s="23" t="n">
        <f aca="false">F273+H273</f>
        <v>3300</v>
      </c>
    </row>
    <row r="274" customFormat="false" ht="15" hidden="false" customHeight="false" outlineLevel="0" collapsed="false">
      <c r="A274" s="19" t="str">
        <f aca="false">'Client-Product Master'!B40</f>
        <v>JINDAL STAINLESS LIMITED</v>
      </c>
      <c r="B274" s="19" t="str">
        <f aca="false">'Client-Product Master'!C40</f>
        <v>Junction Box</v>
      </c>
      <c r="C274" s="20" t="n">
        <f aca="false">'Client-Product Master'!E40</f>
        <v>22000</v>
      </c>
      <c r="D274" s="8" t="n">
        <v>7</v>
      </c>
      <c r="E274" s="21" t="n">
        <f aca="false">INDEX('AMC &amp; Spares % Assumptions'!$B$5:$B$11, D274)</f>
        <v>0.07</v>
      </c>
      <c r="F274" s="22" t="n">
        <f aca="false">C274*E274</f>
        <v>1540</v>
      </c>
      <c r="G274" s="21" t="n">
        <f aca="false">INDEX('AMC &amp; Spares % Assumptions'!$C$5:$C$11, D274)</f>
        <v>0.095</v>
      </c>
      <c r="H274" s="22" t="n">
        <f aca="false">C274*G274</f>
        <v>2090</v>
      </c>
      <c r="I274" s="23" t="n">
        <f aca="false">F274+H274</f>
        <v>3630</v>
      </c>
    </row>
    <row r="275" customFormat="false" ht="15" hidden="false" customHeight="false" outlineLevel="0" collapsed="false">
      <c r="A275" s="19" t="str">
        <f aca="false">'Client-Product Master'!B41</f>
        <v>Evonith Steel Complex</v>
      </c>
      <c r="B275" s="19" t="str">
        <f aca="false">'Client-Product Master'!C41</f>
        <v>Spare for Crane Scale</v>
      </c>
      <c r="C275" s="20" t="n">
        <f aca="false">'Client-Product Master'!E41</f>
        <v>295000</v>
      </c>
      <c r="D275" s="8" t="n">
        <v>1</v>
      </c>
      <c r="E275" s="21" t="n">
        <f aca="false">INDEX('AMC &amp; Spares % Assumptions'!$B$5:$B$11, D275)</f>
        <v>0.015</v>
      </c>
      <c r="F275" s="22" t="n">
        <f aca="false">C275*E275</f>
        <v>4425</v>
      </c>
      <c r="G275" s="21" t="n">
        <f aca="false">INDEX('AMC &amp; Spares % Assumptions'!$C$5:$C$11, D275)</f>
        <v>0.01</v>
      </c>
      <c r="H275" s="22" t="n">
        <f aca="false">C275*G275</f>
        <v>2950</v>
      </c>
      <c r="I275" s="23" t="n">
        <f aca="false">F275+H275</f>
        <v>7375</v>
      </c>
    </row>
    <row r="276" customFormat="false" ht="15" hidden="false" customHeight="false" outlineLevel="0" collapsed="false">
      <c r="A276" s="19" t="str">
        <f aca="false">'Client-Product Master'!B41</f>
        <v>Evonith Steel Complex</v>
      </c>
      <c r="B276" s="19" t="str">
        <f aca="false">'Client-Product Master'!C41</f>
        <v>Spare for Crane Scale</v>
      </c>
      <c r="C276" s="20" t="n">
        <f aca="false">'Client-Product Master'!E41</f>
        <v>295000</v>
      </c>
      <c r="D276" s="8" t="n">
        <v>2</v>
      </c>
      <c r="E276" s="21" t="n">
        <f aca="false">INDEX('AMC &amp; Spares % Assumptions'!$B$5:$B$11, D276)</f>
        <v>0.03</v>
      </c>
      <c r="F276" s="22" t="n">
        <f aca="false">C276*E276</f>
        <v>8850</v>
      </c>
      <c r="G276" s="21" t="n">
        <f aca="false">INDEX('AMC &amp; Spares % Assumptions'!$C$5:$C$11, D276)</f>
        <v>0.025</v>
      </c>
      <c r="H276" s="22" t="n">
        <f aca="false">C276*G276</f>
        <v>7375</v>
      </c>
      <c r="I276" s="23" t="n">
        <f aca="false">F276+H276</f>
        <v>16225</v>
      </c>
    </row>
    <row r="277" customFormat="false" ht="15" hidden="false" customHeight="false" outlineLevel="0" collapsed="false">
      <c r="A277" s="19" t="str">
        <f aca="false">'Client-Product Master'!B41</f>
        <v>Evonith Steel Complex</v>
      </c>
      <c r="B277" s="19" t="str">
        <f aca="false">'Client-Product Master'!C41</f>
        <v>Spare for Crane Scale</v>
      </c>
      <c r="C277" s="20" t="n">
        <f aca="false">'Client-Product Master'!E41</f>
        <v>295000</v>
      </c>
      <c r="D277" s="8" t="n">
        <v>3</v>
      </c>
      <c r="E277" s="21" t="n">
        <f aca="false">INDEX('AMC &amp; Spares % Assumptions'!$B$5:$B$11, D277)</f>
        <v>0.045</v>
      </c>
      <c r="F277" s="22" t="n">
        <f aca="false">C277*E277</f>
        <v>13275</v>
      </c>
      <c r="G277" s="21" t="n">
        <f aca="false">INDEX('AMC &amp; Spares % Assumptions'!$C$5:$C$11, D277)</f>
        <v>0.045</v>
      </c>
      <c r="H277" s="22" t="n">
        <f aca="false">C277*G277</f>
        <v>13275</v>
      </c>
      <c r="I277" s="23" t="n">
        <f aca="false">F277+H277</f>
        <v>26550</v>
      </c>
    </row>
    <row r="278" customFormat="false" ht="15" hidden="false" customHeight="false" outlineLevel="0" collapsed="false">
      <c r="A278" s="19" t="str">
        <f aca="false">'Client-Product Master'!B41</f>
        <v>Evonith Steel Complex</v>
      </c>
      <c r="B278" s="19" t="str">
        <f aca="false">'Client-Product Master'!C41</f>
        <v>Spare for Crane Scale</v>
      </c>
      <c r="C278" s="20" t="n">
        <f aca="false">'Client-Product Master'!E41</f>
        <v>295000</v>
      </c>
      <c r="D278" s="8" t="n">
        <v>4</v>
      </c>
      <c r="E278" s="21" t="n">
        <f aca="false">INDEX('AMC &amp; Spares % Assumptions'!$B$5:$B$11, D278)</f>
        <v>0.055</v>
      </c>
      <c r="F278" s="22" t="n">
        <f aca="false">C278*E278</f>
        <v>16225</v>
      </c>
      <c r="G278" s="21" t="n">
        <f aca="false">INDEX('AMC &amp; Spares % Assumptions'!$C$5:$C$11, D278)</f>
        <v>0.06</v>
      </c>
      <c r="H278" s="22" t="n">
        <f aca="false">C278*G278</f>
        <v>17700</v>
      </c>
      <c r="I278" s="23" t="n">
        <f aca="false">F278+H278</f>
        <v>33925</v>
      </c>
    </row>
    <row r="279" customFormat="false" ht="15" hidden="false" customHeight="false" outlineLevel="0" collapsed="false">
      <c r="A279" s="19" t="str">
        <f aca="false">'Client-Product Master'!B41</f>
        <v>Evonith Steel Complex</v>
      </c>
      <c r="B279" s="19" t="str">
        <f aca="false">'Client-Product Master'!C41</f>
        <v>Spare for Crane Scale</v>
      </c>
      <c r="C279" s="20" t="n">
        <f aca="false">'Client-Product Master'!E41</f>
        <v>295000</v>
      </c>
      <c r="D279" s="8" t="n">
        <v>5</v>
      </c>
      <c r="E279" s="21" t="n">
        <f aca="false">INDEX('AMC &amp; Spares % Assumptions'!$B$5:$B$11, D279)</f>
        <v>0.06</v>
      </c>
      <c r="F279" s="22" t="n">
        <f aca="false">C279*E279</f>
        <v>17700</v>
      </c>
      <c r="G279" s="21" t="n">
        <f aca="false">INDEX('AMC &amp; Spares % Assumptions'!$C$5:$C$11, D279)</f>
        <v>0.075</v>
      </c>
      <c r="H279" s="22" t="n">
        <f aca="false">C279*G279</f>
        <v>22125</v>
      </c>
      <c r="I279" s="23" t="n">
        <f aca="false">F279+H279</f>
        <v>39825</v>
      </c>
    </row>
    <row r="280" customFormat="false" ht="15" hidden="false" customHeight="false" outlineLevel="0" collapsed="false">
      <c r="A280" s="19" t="str">
        <f aca="false">'Client-Product Master'!B41</f>
        <v>Evonith Steel Complex</v>
      </c>
      <c r="B280" s="19" t="str">
        <f aca="false">'Client-Product Master'!C41</f>
        <v>Spare for Crane Scale</v>
      </c>
      <c r="C280" s="20" t="n">
        <f aca="false">'Client-Product Master'!E41</f>
        <v>295000</v>
      </c>
      <c r="D280" s="8" t="n">
        <v>6</v>
      </c>
      <c r="E280" s="21" t="n">
        <f aca="false">INDEX('AMC &amp; Spares % Assumptions'!$B$5:$B$11, D280)</f>
        <v>0.065</v>
      </c>
      <c r="F280" s="22" t="n">
        <f aca="false">C280*E280</f>
        <v>19175</v>
      </c>
      <c r="G280" s="21" t="n">
        <f aca="false">INDEX('AMC &amp; Spares % Assumptions'!$C$5:$C$11, D280)</f>
        <v>0.085</v>
      </c>
      <c r="H280" s="22" t="n">
        <f aca="false">C280*G280</f>
        <v>25075</v>
      </c>
      <c r="I280" s="23" t="n">
        <f aca="false">F280+H280</f>
        <v>44250</v>
      </c>
    </row>
    <row r="281" customFormat="false" ht="15" hidden="false" customHeight="false" outlineLevel="0" collapsed="false">
      <c r="A281" s="19" t="str">
        <f aca="false">'Client-Product Master'!B41</f>
        <v>Evonith Steel Complex</v>
      </c>
      <c r="B281" s="19" t="str">
        <f aca="false">'Client-Product Master'!C41</f>
        <v>Spare for Crane Scale</v>
      </c>
      <c r="C281" s="20" t="n">
        <f aca="false">'Client-Product Master'!E41</f>
        <v>295000</v>
      </c>
      <c r="D281" s="8" t="n">
        <v>7</v>
      </c>
      <c r="E281" s="21" t="n">
        <f aca="false">INDEX('AMC &amp; Spares % Assumptions'!$B$5:$B$11, D281)</f>
        <v>0.07</v>
      </c>
      <c r="F281" s="22" t="n">
        <f aca="false">C281*E281</f>
        <v>20650</v>
      </c>
      <c r="G281" s="21" t="n">
        <f aca="false">INDEX('AMC &amp; Spares % Assumptions'!$C$5:$C$11, D281)</f>
        <v>0.095</v>
      </c>
      <c r="H281" s="22" t="n">
        <f aca="false">C281*G281</f>
        <v>28025</v>
      </c>
      <c r="I281" s="23" t="n">
        <f aca="false">F281+H281</f>
        <v>48675</v>
      </c>
    </row>
    <row r="282" customFormat="false" ht="15" hidden="false" customHeight="false" outlineLevel="0" collapsed="false">
      <c r="A282" s="19" t="str">
        <f aca="false">'Client-Product Master'!B42</f>
        <v>JSW Steel Ltd.</v>
      </c>
      <c r="B282" s="19" t="str">
        <f aca="false">'Client-Product Master'!C42</f>
        <v>CONTROLLER &amp; LOAD CELL</v>
      </c>
      <c r="C282" s="20" t="n">
        <f aca="false">'Client-Product Master'!E42</f>
        <v>113000</v>
      </c>
      <c r="D282" s="8" t="n">
        <v>1</v>
      </c>
      <c r="E282" s="21" t="n">
        <f aca="false">INDEX('AMC &amp; Spares % Assumptions'!$B$5:$B$11, D282)</f>
        <v>0.015</v>
      </c>
      <c r="F282" s="22" t="n">
        <f aca="false">C282*E282</f>
        <v>1695</v>
      </c>
      <c r="G282" s="21" t="n">
        <f aca="false">INDEX('AMC &amp; Spares % Assumptions'!$C$5:$C$11, D282)</f>
        <v>0.01</v>
      </c>
      <c r="H282" s="22" t="n">
        <f aca="false">C282*G282</f>
        <v>1130</v>
      </c>
      <c r="I282" s="23" t="n">
        <f aca="false">F282+H282</f>
        <v>2825</v>
      </c>
    </row>
    <row r="283" customFormat="false" ht="15" hidden="false" customHeight="false" outlineLevel="0" collapsed="false">
      <c r="A283" s="19" t="str">
        <f aca="false">'Client-Product Master'!B42</f>
        <v>JSW Steel Ltd.</v>
      </c>
      <c r="B283" s="19" t="str">
        <f aca="false">'Client-Product Master'!C42</f>
        <v>CONTROLLER &amp; LOAD CELL</v>
      </c>
      <c r="C283" s="20" t="n">
        <f aca="false">'Client-Product Master'!E42</f>
        <v>113000</v>
      </c>
      <c r="D283" s="8" t="n">
        <v>2</v>
      </c>
      <c r="E283" s="21" t="n">
        <f aca="false">INDEX('AMC &amp; Spares % Assumptions'!$B$5:$B$11, D283)</f>
        <v>0.03</v>
      </c>
      <c r="F283" s="22" t="n">
        <f aca="false">C283*E283</f>
        <v>3390</v>
      </c>
      <c r="G283" s="21" t="n">
        <f aca="false">INDEX('AMC &amp; Spares % Assumptions'!$C$5:$C$11, D283)</f>
        <v>0.025</v>
      </c>
      <c r="H283" s="22" t="n">
        <f aca="false">C283*G283</f>
        <v>2825</v>
      </c>
      <c r="I283" s="23" t="n">
        <f aca="false">F283+H283</f>
        <v>6215</v>
      </c>
    </row>
    <row r="284" customFormat="false" ht="15" hidden="false" customHeight="false" outlineLevel="0" collapsed="false">
      <c r="A284" s="19" t="str">
        <f aca="false">'Client-Product Master'!B42</f>
        <v>JSW Steel Ltd.</v>
      </c>
      <c r="B284" s="19" t="str">
        <f aca="false">'Client-Product Master'!C42</f>
        <v>CONTROLLER &amp; LOAD CELL</v>
      </c>
      <c r="C284" s="20" t="n">
        <f aca="false">'Client-Product Master'!E42</f>
        <v>113000</v>
      </c>
      <c r="D284" s="8" t="n">
        <v>3</v>
      </c>
      <c r="E284" s="21" t="n">
        <f aca="false">INDEX('AMC &amp; Spares % Assumptions'!$B$5:$B$11, D284)</f>
        <v>0.045</v>
      </c>
      <c r="F284" s="22" t="n">
        <f aca="false">C284*E284</f>
        <v>5085</v>
      </c>
      <c r="G284" s="21" t="n">
        <f aca="false">INDEX('AMC &amp; Spares % Assumptions'!$C$5:$C$11, D284)</f>
        <v>0.045</v>
      </c>
      <c r="H284" s="22" t="n">
        <f aca="false">C284*G284</f>
        <v>5085</v>
      </c>
      <c r="I284" s="23" t="n">
        <f aca="false">F284+H284</f>
        <v>10170</v>
      </c>
    </row>
    <row r="285" customFormat="false" ht="15" hidden="false" customHeight="false" outlineLevel="0" collapsed="false">
      <c r="A285" s="19" t="str">
        <f aca="false">'Client-Product Master'!B42</f>
        <v>JSW Steel Ltd.</v>
      </c>
      <c r="B285" s="19" t="str">
        <f aca="false">'Client-Product Master'!C42</f>
        <v>CONTROLLER &amp; LOAD CELL</v>
      </c>
      <c r="C285" s="20" t="n">
        <f aca="false">'Client-Product Master'!E42</f>
        <v>113000</v>
      </c>
      <c r="D285" s="8" t="n">
        <v>4</v>
      </c>
      <c r="E285" s="21" t="n">
        <f aca="false">INDEX('AMC &amp; Spares % Assumptions'!$B$5:$B$11, D285)</f>
        <v>0.055</v>
      </c>
      <c r="F285" s="22" t="n">
        <f aca="false">C285*E285</f>
        <v>6215</v>
      </c>
      <c r="G285" s="21" t="n">
        <f aca="false">INDEX('AMC &amp; Spares % Assumptions'!$C$5:$C$11, D285)</f>
        <v>0.06</v>
      </c>
      <c r="H285" s="22" t="n">
        <f aca="false">C285*G285</f>
        <v>6780</v>
      </c>
      <c r="I285" s="23" t="n">
        <f aca="false">F285+H285</f>
        <v>12995</v>
      </c>
    </row>
    <row r="286" customFormat="false" ht="15" hidden="false" customHeight="false" outlineLevel="0" collapsed="false">
      <c r="A286" s="19" t="str">
        <f aca="false">'Client-Product Master'!B42</f>
        <v>JSW Steel Ltd.</v>
      </c>
      <c r="B286" s="19" t="str">
        <f aca="false">'Client-Product Master'!C42</f>
        <v>CONTROLLER &amp; LOAD CELL</v>
      </c>
      <c r="C286" s="20" t="n">
        <f aca="false">'Client-Product Master'!E42</f>
        <v>113000</v>
      </c>
      <c r="D286" s="8" t="n">
        <v>5</v>
      </c>
      <c r="E286" s="21" t="n">
        <f aca="false">INDEX('AMC &amp; Spares % Assumptions'!$B$5:$B$11, D286)</f>
        <v>0.06</v>
      </c>
      <c r="F286" s="22" t="n">
        <f aca="false">C286*E286</f>
        <v>6780</v>
      </c>
      <c r="G286" s="21" t="n">
        <f aca="false">INDEX('AMC &amp; Spares % Assumptions'!$C$5:$C$11, D286)</f>
        <v>0.075</v>
      </c>
      <c r="H286" s="22" t="n">
        <f aca="false">C286*G286</f>
        <v>8475</v>
      </c>
      <c r="I286" s="23" t="n">
        <f aca="false">F286+H286</f>
        <v>15255</v>
      </c>
    </row>
    <row r="287" customFormat="false" ht="15" hidden="false" customHeight="false" outlineLevel="0" collapsed="false">
      <c r="A287" s="19" t="str">
        <f aca="false">'Client-Product Master'!B42</f>
        <v>JSW Steel Ltd.</v>
      </c>
      <c r="B287" s="19" t="str">
        <f aca="false">'Client-Product Master'!C42</f>
        <v>CONTROLLER &amp; LOAD CELL</v>
      </c>
      <c r="C287" s="20" t="n">
        <f aca="false">'Client-Product Master'!E42</f>
        <v>113000</v>
      </c>
      <c r="D287" s="8" t="n">
        <v>6</v>
      </c>
      <c r="E287" s="21" t="n">
        <f aca="false">INDEX('AMC &amp; Spares % Assumptions'!$B$5:$B$11, D287)</f>
        <v>0.065</v>
      </c>
      <c r="F287" s="22" t="n">
        <f aca="false">C287*E287</f>
        <v>7345</v>
      </c>
      <c r="G287" s="21" t="n">
        <f aca="false">INDEX('AMC &amp; Spares % Assumptions'!$C$5:$C$11, D287)</f>
        <v>0.085</v>
      </c>
      <c r="H287" s="22" t="n">
        <f aca="false">C287*G287</f>
        <v>9605</v>
      </c>
      <c r="I287" s="23" t="n">
        <f aca="false">F287+H287</f>
        <v>16950</v>
      </c>
    </row>
    <row r="288" customFormat="false" ht="15" hidden="false" customHeight="false" outlineLevel="0" collapsed="false">
      <c r="A288" s="19" t="str">
        <f aca="false">'Client-Product Master'!B42</f>
        <v>JSW Steel Ltd.</v>
      </c>
      <c r="B288" s="19" t="str">
        <f aca="false">'Client-Product Master'!C42</f>
        <v>CONTROLLER &amp; LOAD CELL</v>
      </c>
      <c r="C288" s="20" t="n">
        <f aca="false">'Client-Product Master'!E42</f>
        <v>113000</v>
      </c>
      <c r="D288" s="8" t="n">
        <v>7</v>
      </c>
      <c r="E288" s="21" t="n">
        <f aca="false">INDEX('AMC &amp; Spares % Assumptions'!$B$5:$B$11, D288)</f>
        <v>0.07</v>
      </c>
      <c r="F288" s="22" t="n">
        <f aca="false">C288*E288</f>
        <v>7910</v>
      </c>
      <c r="G288" s="21" t="n">
        <f aca="false">INDEX('AMC &amp; Spares % Assumptions'!$C$5:$C$11, D288)</f>
        <v>0.095</v>
      </c>
      <c r="H288" s="22" t="n">
        <f aca="false">C288*G288</f>
        <v>10735</v>
      </c>
      <c r="I288" s="23" t="n">
        <f aca="false">F288+H288</f>
        <v>18645</v>
      </c>
    </row>
    <row r="289" customFormat="false" ht="15" hidden="false" customHeight="false" outlineLevel="0" collapsed="false">
      <c r="A289" s="19" t="str">
        <f aca="false">'Client-Product Master'!B43</f>
        <v>JSW Steel Limited</v>
      </c>
      <c r="B289" s="19" t="str">
        <f aca="false">'Client-Product Master'!C43</f>
        <v>Bin Load cell and Controller</v>
      </c>
      <c r="C289" s="20" t="n">
        <f aca="false">'Client-Product Master'!E43</f>
        <v>90000</v>
      </c>
      <c r="D289" s="8" t="n">
        <v>1</v>
      </c>
      <c r="E289" s="21" t="n">
        <f aca="false">INDEX('AMC &amp; Spares % Assumptions'!$B$5:$B$11, D289)</f>
        <v>0.015</v>
      </c>
      <c r="F289" s="22" t="n">
        <f aca="false">C289*E289</f>
        <v>1350</v>
      </c>
      <c r="G289" s="21" t="n">
        <f aca="false">INDEX('AMC &amp; Spares % Assumptions'!$C$5:$C$11, D289)</f>
        <v>0.01</v>
      </c>
      <c r="H289" s="22" t="n">
        <f aca="false">C289*G289</f>
        <v>900</v>
      </c>
      <c r="I289" s="23" t="n">
        <f aca="false">F289+H289</f>
        <v>2250</v>
      </c>
    </row>
    <row r="290" customFormat="false" ht="15" hidden="false" customHeight="false" outlineLevel="0" collapsed="false">
      <c r="A290" s="19" t="str">
        <f aca="false">'Client-Product Master'!B43</f>
        <v>JSW Steel Limited</v>
      </c>
      <c r="B290" s="19" t="str">
        <f aca="false">'Client-Product Master'!C43</f>
        <v>Bin Load cell and Controller</v>
      </c>
      <c r="C290" s="20" t="n">
        <f aca="false">'Client-Product Master'!E43</f>
        <v>90000</v>
      </c>
      <c r="D290" s="8" t="n">
        <v>2</v>
      </c>
      <c r="E290" s="21" t="n">
        <f aca="false">INDEX('AMC &amp; Spares % Assumptions'!$B$5:$B$11, D290)</f>
        <v>0.03</v>
      </c>
      <c r="F290" s="22" t="n">
        <f aca="false">C290*E290</f>
        <v>2700</v>
      </c>
      <c r="G290" s="21" t="n">
        <f aca="false">INDEX('AMC &amp; Spares % Assumptions'!$C$5:$C$11, D290)</f>
        <v>0.025</v>
      </c>
      <c r="H290" s="22" t="n">
        <f aca="false">C290*G290</f>
        <v>2250</v>
      </c>
      <c r="I290" s="23" t="n">
        <f aca="false">F290+H290</f>
        <v>4950</v>
      </c>
    </row>
    <row r="291" customFormat="false" ht="15" hidden="false" customHeight="false" outlineLevel="0" collapsed="false">
      <c r="A291" s="19" t="str">
        <f aca="false">'Client-Product Master'!B43</f>
        <v>JSW Steel Limited</v>
      </c>
      <c r="B291" s="19" t="str">
        <f aca="false">'Client-Product Master'!C43</f>
        <v>Bin Load cell and Controller</v>
      </c>
      <c r="C291" s="20" t="n">
        <f aca="false">'Client-Product Master'!E43</f>
        <v>90000</v>
      </c>
      <c r="D291" s="8" t="n">
        <v>3</v>
      </c>
      <c r="E291" s="21" t="n">
        <f aca="false">INDEX('AMC &amp; Spares % Assumptions'!$B$5:$B$11, D291)</f>
        <v>0.045</v>
      </c>
      <c r="F291" s="22" t="n">
        <f aca="false">C291*E291</f>
        <v>4050</v>
      </c>
      <c r="G291" s="21" t="n">
        <f aca="false">INDEX('AMC &amp; Spares % Assumptions'!$C$5:$C$11, D291)</f>
        <v>0.045</v>
      </c>
      <c r="H291" s="22" t="n">
        <f aca="false">C291*G291</f>
        <v>4050</v>
      </c>
      <c r="I291" s="23" t="n">
        <f aca="false">F291+H291</f>
        <v>8100</v>
      </c>
    </row>
    <row r="292" customFormat="false" ht="15" hidden="false" customHeight="false" outlineLevel="0" collapsed="false">
      <c r="A292" s="19" t="str">
        <f aca="false">'Client-Product Master'!B43</f>
        <v>JSW Steel Limited</v>
      </c>
      <c r="B292" s="19" t="str">
        <f aca="false">'Client-Product Master'!C43</f>
        <v>Bin Load cell and Controller</v>
      </c>
      <c r="C292" s="20" t="n">
        <f aca="false">'Client-Product Master'!E43</f>
        <v>90000</v>
      </c>
      <c r="D292" s="8" t="n">
        <v>4</v>
      </c>
      <c r="E292" s="21" t="n">
        <f aca="false">INDEX('AMC &amp; Spares % Assumptions'!$B$5:$B$11, D292)</f>
        <v>0.055</v>
      </c>
      <c r="F292" s="22" t="n">
        <f aca="false">C292*E292</f>
        <v>4950</v>
      </c>
      <c r="G292" s="21" t="n">
        <f aca="false">INDEX('AMC &amp; Spares % Assumptions'!$C$5:$C$11, D292)</f>
        <v>0.06</v>
      </c>
      <c r="H292" s="22" t="n">
        <f aca="false">C292*G292</f>
        <v>5400</v>
      </c>
      <c r="I292" s="23" t="n">
        <f aca="false">F292+H292</f>
        <v>10350</v>
      </c>
    </row>
    <row r="293" customFormat="false" ht="15" hidden="false" customHeight="false" outlineLevel="0" collapsed="false">
      <c r="A293" s="19" t="str">
        <f aca="false">'Client-Product Master'!B43</f>
        <v>JSW Steel Limited</v>
      </c>
      <c r="B293" s="19" t="str">
        <f aca="false">'Client-Product Master'!C43</f>
        <v>Bin Load cell and Controller</v>
      </c>
      <c r="C293" s="20" t="n">
        <f aca="false">'Client-Product Master'!E43</f>
        <v>90000</v>
      </c>
      <c r="D293" s="8" t="n">
        <v>5</v>
      </c>
      <c r="E293" s="21" t="n">
        <f aca="false">INDEX('AMC &amp; Spares % Assumptions'!$B$5:$B$11, D293)</f>
        <v>0.06</v>
      </c>
      <c r="F293" s="22" t="n">
        <f aca="false">C293*E293</f>
        <v>5400</v>
      </c>
      <c r="G293" s="21" t="n">
        <f aca="false">INDEX('AMC &amp; Spares % Assumptions'!$C$5:$C$11, D293)</f>
        <v>0.075</v>
      </c>
      <c r="H293" s="22" t="n">
        <f aca="false">C293*G293</f>
        <v>6750</v>
      </c>
      <c r="I293" s="23" t="n">
        <f aca="false">F293+H293</f>
        <v>12150</v>
      </c>
    </row>
    <row r="294" customFormat="false" ht="15" hidden="false" customHeight="false" outlineLevel="0" collapsed="false">
      <c r="A294" s="19" t="str">
        <f aca="false">'Client-Product Master'!B43</f>
        <v>JSW Steel Limited</v>
      </c>
      <c r="B294" s="19" t="str">
        <f aca="false">'Client-Product Master'!C43</f>
        <v>Bin Load cell and Controller</v>
      </c>
      <c r="C294" s="20" t="n">
        <f aca="false">'Client-Product Master'!E43</f>
        <v>90000</v>
      </c>
      <c r="D294" s="8" t="n">
        <v>6</v>
      </c>
      <c r="E294" s="21" t="n">
        <f aca="false">INDEX('AMC &amp; Spares % Assumptions'!$B$5:$B$11, D294)</f>
        <v>0.065</v>
      </c>
      <c r="F294" s="22" t="n">
        <f aca="false">C294*E294</f>
        <v>5850</v>
      </c>
      <c r="G294" s="21" t="n">
        <f aca="false">INDEX('AMC &amp; Spares % Assumptions'!$C$5:$C$11, D294)</f>
        <v>0.085</v>
      </c>
      <c r="H294" s="22" t="n">
        <f aca="false">C294*G294</f>
        <v>7650</v>
      </c>
      <c r="I294" s="23" t="n">
        <f aca="false">F294+H294</f>
        <v>13500</v>
      </c>
    </row>
    <row r="295" customFormat="false" ht="15" hidden="false" customHeight="false" outlineLevel="0" collapsed="false">
      <c r="A295" s="19" t="str">
        <f aca="false">'Client-Product Master'!B43</f>
        <v>JSW Steel Limited</v>
      </c>
      <c r="B295" s="19" t="str">
        <f aca="false">'Client-Product Master'!C43</f>
        <v>Bin Load cell and Controller</v>
      </c>
      <c r="C295" s="20" t="n">
        <f aca="false">'Client-Product Master'!E43</f>
        <v>90000</v>
      </c>
      <c r="D295" s="8" t="n">
        <v>7</v>
      </c>
      <c r="E295" s="21" t="n">
        <f aca="false">INDEX('AMC &amp; Spares % Assumptions'!$B$5:$B$11, D295)</f>
        <v>0.07</v>
      </c>
      <c r="F295" s="22" t="n">
        <f aca="false">C295*E295</f>
        <v>6300</v>
      </c>
      <c r="G295" s="21" t="n">
        <f aca="false">INDEX('AMC &amp; Spares % Assumptions'!$C$5:$C$11, D295)</f>
        <v>0.095</v>
      </c>
      <c r="H295" s="22" t="n">
        <f aca="false">C295*G295</f>
        <v>8550</v>
      </c>
      <c r="I295" s="23" t="n">
        <f aca="false">F295+H295</f>
        <v>14850</v>
      </c>
    </row>
    <row r="296" customFormat="false" ht="15" hidden="false" customHeight="false" outlineLevel="0" collapsed="false">
      <c r="A296" s="19" t="str">
        <f aca="false">'Client-Product Master'!B44</f>
        <v>JSW STEEL-SALEM</v>
      </c>
      <c r="B296" s="19" t="str">
        <f aca="false">'Client-Product Master'!C44</f>
        <v>SPARE For WAGON TIPPLER</v>
      </c>
      <c r="C296" s="20" t="n">
        <f aca="false">'Client-Product Master'!E44</f>
        <v>930000</v>
      </c>
      <c r="D296" s="8" t="n">
        <v>1</v>
      </c>
      <c r="E296" s="21" t="n">
        <f aca="false">INDEX('AMC &amp; Spares % Assumptions'!$B$5:$B$11, D296)</f>
        <v>0.015</v>
      </c>
      <c r="F296" s="22" t="n">
        <f aca="false">C296*E296</f>
        <v>13950</v>
      </c>
      <c r="G296" s="21" t="n">
        <f aca="false">INDEX('AMC &amp; Spares % Assumptions'!$C$5:$C$11, D296)</f>
        <v>0.01</v>
      </c>
      <c r="H296" s="22" t="n">
        <f aca="false">C296*G296</f>
        <v>9300</v>
      </c>
      <c r="I296" s="23" t="n">
        <f aca="false">F296+H296</f>
        <v>23250</v>
      </c>
    </row>
    <row r="297" customFormat="false" ht="15" hidden="false" customHeight="false" outlineLevel="0" collapsed="false">
      <c r="A297" s="19" t="str">
        <f aca="false">'Client-Product Master'!B44</f>
        <v>JSW STEEL-SALEM</v>
      </c>
      <c r="B297" s="19" t="str">
        <f aca="false">'Client-Product Master'!C44</f>
        <v>SPARE For WAGON TIPPLER</v>
      </c>
      <c r="C297" s="20" t="n">
        <f aca="false">'Client-Product Master'!E44</f>
        <v>930000</v>
      </c>
      <c r="D297" s="8" t="n">
        <v>2</v>
      </c>
      <c r="E297" s="21" t="n">
        <f aca="false">INDEX('AMC &amp; Spares % Assumptions'!$B$5:$B$11, D297)</f>
        <v>0.03</v>
      </c>
      <c r="F297" s="22" t="n">
        <f aca="false">C297*E297</f>
        <v>27900</v>
      </c>
      <c r="G297" s="21" t="n">
        <f aca="false">INDEX('AMC &amp; Spares % Assumptions'!$C$5:$C$11, D297)</f>
        <v>0.025</v>
      </c>
      <c r="H297" s="22" t="n">
        <f aca="false">C297*G297</f>
        <v>23250</v>
      </c>
      <c r="I297" s="23" t="n">
        <f aca="false">F297+H297</f>
        <v>51150</v>
      </c>
    </row>
    <row r="298" customFormat="false" ht="15" hidden="false" customHeight="false" outlineLevel="0" collapsed="false">
      <c r="A298" s="19" t="str">
        <f aca="false">'Client-Product Master'!B44</f>
        <v>JSW STEEL-SALEM</v>
      </c>
      <c r="B298" s="19" t="str">
        <f aca="false">'Client-Product Master'!C44</f>
        <v>SPARE For WAGON TIPPLER</v>
      </c>
      <c r="C298" s="20" t="n">
        <f aca="false">'Client-Product Master'!E44</f>
        <v>930000</v>
      </c>
      <c r="D298" s="8" t="n">
        <v>3</v>
      </c>
      <c r="E298" s="21" t="n">
        <f aca="false">INDEX('AMC &amp; Spares % Assumptions'!$B$5:$B$11, D298)</f>
        <v>0.045</v>
      </c>
      <c r="F298" s="22" t="n">
        <f aca="false">C298*E298</f>
        <v>41850</v>
      </c>
      <c r="G298" s="21" t="n">
        <f aca="false">INDEX('AMC &amp; Spares % Assumptions'!$C$5:$C$11, D298)</f>
        <v>0.045</v>
      </c>
      <c r="H298" s="22" t="n">
        <f aca="false">C298*G298</f>
        <v>41850</v>
      </c>
      <c r="I298" s="23" t="n">
        <f aca="false">F298+H298</f>
        <v>83700</v>
      </c>
    </row>
    <row r="299" customFormat="false" ht="15" hidden="false" customHeight="false" outlineLevel="0" collapsed="false">
      <c r="A299" s="19" t="str">
        <f aca="false">'Client-Product Master'!B44</f>
        <v>JSW STEEL-SALEM</v>
      </c>
      <c r="B299" s="19" t="str">
        <f aca="false">'Client-Product Master'!C44</f>
        <v>SPARE For WAGON TIPPLER</v>
      </c>
      <c r="C299" s="20" t="n">
        <f aca="false">'Client-Product Master'!E44</f>
        <v>930000</v>
      </c>
      <c r="D299" s="8" t="n">
        <v>4</v>
      </c>
      <c r="E299" s="21" t="n">
        <f aca="false">INDEX('AMC &amp; Spares % Assumptions'!$B$5:$B$11, D299)</f>
        <v>0.055</v>
      </c>
      <c r="F299" s="22" t="n">
        <f aca="false">C299*E299</f>
        <v>51150</v>
      </c>
      <c r="G299" s="21" t="n">
        <f aca="false">INDEX('AMC &amp; Spares % Assumptions'!$C$5:$C$11, D299)</f>
        <v>0.06</v>
      </c>
      <c r="H299" s="22" t="n">
        <f aca="false">C299*G299</f>
        <v>55800</v>
      </c>
      <c r="I299" s="23" t="n">
        <f aca="false">F299+H299</f>
        <v>106950</v>
      </c>
    </row>
    <row r="300" customFormat="false" ht="15" hidden="false" customHeight="false" outlineLevel="0" collapsed="false">
      <c r="A300" s="19" t="str">
        <f aca="false">'Client-Product Master'!B44</f>
        <v>JSW STEEL-SALEM</v>
      </c>
      <c r="B300" s="19" t="str">
        <f aca="false">'Client-Product Master'!C44</f>
        <v>SPARE For WAGON TIPPLER</v>
      </c>
      <c r="C300" s="20" t="n">
        <f aca="false">'Client-Product Master'!E44</f>
        <v>930000</v>
      </c>
      <c r="D300" s="8" t="n">
        <v>5</v>
      </c>
      <c r="E300" s="21" t="n">
        <f aca="false">INDEX('AMC &amp; Spares % Assumptions'!$B$5:$B$11, D300)</f>
        <v>0.06</v>
      </c>
      <c r="F300" s="22" t="n">
        <f aca="false">C300*E300</f>
        <v>55800</v>
      </c>
      <c r="G300" s="21" t="n">
        <f aca="false">INDEX('AMC &amp; Spares % Assumptions'!$C$5:$C$11, D300)</f>
        <v>0.075</v>
      </c>
      <c r="H300" s="22" t="n">
        <f aca="false">C300*G300</f>
        <v>69750</v>
      </c>
      <c r="I300" s="23" t="n">
        <f aca="false">F300+H300</f>
        <v>125550</v>
      </c>
    </row>
    <row r="301" customFormat="false" ht="15" hidden="false" customHeight="false" outlineLevel="0" collapsed="false">
      <c r="A301" s="19" t="str">
        <f aca="false">'Client-Product Master'!B44</f>
        <v>JSW STEEL-SALEM</v>
      </c>
      <c r="B301" s="19" t="str">
        <f aca="false">'Client-Product Master'!C44</f>
        <v>SPARE For WAGON TIPPLER</v>
      </c>
      <c r="C301" s="20" t="n">
        <f aca="false">'Client-Product Master'!E44</f>
        <v>930000</v>
      </c>
      <c r="D301" s="8" t="n">
        <v>6</v>
      </c>
      <c r="E301" s="21" t="n">
        <f aca="false">INDEX('AMC &amp; Spares % Assumptions'!$B$5:$B$11, D301)</f>
        <v>0.065</v>
      </c>
      <c r="F301" s="22" t="n">
        <f aca="false">C301*E301</f>
        <v>60450</v>
      </c>
      <c r="G301" s="21" t="n">
        <f aca="false">INDEX('AMC &amp; Spares % Assumptions'!$C$5:$C$11, D301)</f>
        <v>0.085</v>
      </c>
      <c r="H301" s="22" t="n">
        <f aca="false">C301*G301</f>
        <v>79050</v>
      </c>
      <c r="I301" s="23" t="n">
        <f aca="false">F301+H301</f>
        <v>139500</v>
      </c>
    </row>
    <row r="302" customFormat="false" ht="15" hidden="false" customHeight="false" outlineLevel="0" collapsed="false">
      <c r="A302" s="19" t="str">
        <f aca="false">'Client-Product Master'!B44</f>
        <v>JSW STEEL-SALEM</v>
      </c>
      <c r="B302" s="19" t="str">
        <f aca="false">'Client-Product Master'!C44</f>
        <v>SPARE For WAGON TIPPLER</v>
      </c>
      <c r="C302" s="20" t="n">
        <f aca="false">'Client-Product Master'!E44</f>
        <v>930000</v>
      </c>
      <c r="D302" s="8" t="n">
        <v>7</v>
      </c>
      <c r="E302" s="21" t="n">
        <f aca="false">INDEX('AMC &amp; Spares % Assumptions'!$B$5:$B$11, D302)</f>
        <v>0.07</v>
      </c>
      <c r="F302" s="22" t="n">
        <f aca="false">C302*E302</f>
        <v>65100</v>
      </c>
      <c r="G302" s="21" t="n">
        <f aca="false">INDEX('AMC &amp; Spares % Assumptions'!$C$5:$C$11, D302)</f>
        <v>0.095</v>
      </c>
      <c r="H302" s="22" t="n">
        <f aca="false">C302*G302</f>
        <v>88350</v>
      </c>
      <c r="I302" s="23" t="n">
        <f aca="false">F302+H302</f>
        <v>153450</v>
      </c>
    </row>
    <row r="303" customFormat="false" ht="15" hidden="false" customHeight="false" outlineLevel="0" collapsed="false">
      <c r="A303" s="19" t="str">
        <f aca="false">'Client-Product Master'!B45</f>
        <v>Balaji Engineers &amp; Contractors.</v>
      </c>
      <c r="B303" s="19" t="str">
        <f aca="false">'Client-Product Master'!C45</f>
        <v>6 TON WEIGH SCALE SPARRE</v>
      </c>
      <c r="C303" s="20" t="n">
        <f aca="false">'Client-Product Master'!E45</f>
        <v>333250</v>
      </c>
      <c r="D303" s="8" t="n">
        <v>1</v>
      </c>
      <c r="E303" s="21" t="n">
        <f aca="false">INDEX('AMC &amp; Spares % Assumptions'!$B$5:$B$11, D303)</f>
        <v>0.015</v>
      </c>
      <c r="F303" s="22" t="n">
        <f aca="false">C303*E303</f>
        <v>4998.75</v>
      </c>
      <c r="G303" s="21" t="n">
        <f aca="false">INDEX('AMC &amp; Spares % Assumptions'!$C$5:$C$11, D303)</f>
        <v>0.01</v>
      </c>
      <c r="H303" s="22" t="n">
        <f aca="false">C303*G303</f>
        <v>3332.5</v>
      </c>
      <c r="I303" s="23" t="n">
        <f aca="false">F303+H303</f>
        <v>8331.25</v>
      </c>
    </row>
    <row r="304" customFormat="false" ht="15" hidden="false" customHeight="false" outlineLevel="0" collapsed="false">
      <c r="A304" s="19" t="str">
        <f aca="false">'Client-Product Master'!B45</f>
        <v>Balaji Engineers &amp; Contractors.</v>
      </c>
      <c r="B304" s="19" t="str">
        <f aca="false">'Client-Product Master'!C45</f>
        <v>6 TON WEIGH SCALE SPARRE</v>
      </c>
      <c r="C304" s="20" t="n">
        <f aca="false">'Client-Product Master'!E45</f>
        <v>333250</v>
      </c>
      <c r="D304" s="8" t="n">
        <v>2</v>
      </c>
      <c r="E304" s="21" t="n">
        <f aca="false">INDEX('AMC &amp; Spares % Assumptions'!$B$5:$B$11, D304)</f>
        <v>0.03</v>
      </c>
      <c r="F304" s="22" t="n">
        <f aca="false">C304*E304</f>
        <v>9997.5</v>
      </c>
      <c r="G304" s="21" t="n">
        <f aca="false">INDEX('AMC &amp; Spares % Assumptions'!$C$5:$C$11, D304)</f>
        <v>0.025</v>
      </c>
      <c r="H304" s="22" t="n">
        <f aca="false">C304*G304</f>
        <v>8331.25</v>
      </c>
      <c r="I304" s="23" t="n">
        <f aca="false">F304+H304</f>
        <v>18328.75</v>
      </c>
    </row>
    <row r="305" customFormat="false" ht="15" hidden="false" customHeight="false" outlineLevel="0" collapsed="false">
      <c r="A305" s="19" t="str">
        <f aca="false">'Client-Product Master'!B45</f>
        <v>Balaji Engineers &amp; Contractors.</v>
      </c>
      <c r="B305" s="19" t="str">
        <f aca="false">'Client-Product Master'!C45</f>
        <v>6 TON WEIGH SCALE SPARRE</v>
      </c>
      <c r="C305" s="20" t="n">
        <f aca="false">'Client-Product Master'!E45</f>
        <v>333250</v>
      </c>
      <c r="D305" s="8" t="n">
        <v>3</v>
      </c>
      <c r="E305" s="21" t="n">
        <f aca="false">INDEX('AMC &amp; Spares % Assumptions'!$B$5:$B$11, D305)</f>
        <v>0.045</v>
      </c>
      <c r="F305" s="22" t="n">
        <f aca="false">C305*E305</f>
        <v>14996.25</v>
      </c>
      <c r="G305" s="21" t="n">
        <f aca="false">INDEX('AMC &amp; Spares % Assumptions'!$C$5:$C$11, D305)</f>
        <v>0.045</v>
      </c>
      <c r="H305" s="22" t="n">
        <f aca="false">C305*G305</f>
        <v>14996.25</v>
      </c>
      <c r="I305" s="23" t="n">
        <f aca="false">F305+H305</f>
        <v>29992.5</v>
      </c>
    </row>
    <row r="306" customFormat="false" ht="15" hidden="false" customHeight="false" outlineLevel="0" collapsed="false">
      <c r="A306" s="19" t="str">
        <f aca="false">'Client-Product Master'!B45</f>
        <v>Balaji Engineers &amp; Contractors.</v>
      </c>
      <c r="B306" s="19" t="str">
        <f aca="false">'Client-Product Master'!C45</f>
        <v>6 TON WEIGH SCALE SPARRE</v>
      </c>
      <c r="C306" s="20" t="n">
        <f aca="false">'Client-Product Master'!E45</f>
        <v>333250</v>
      </c>
      <c r="D306" s="8" t="n">
        <v>4</v>
      </c>
      <c r="E306" s="21" t="n">
        <f aca="false">INDEX('AMC &amp; Spares % Assumptions'!$B$5:$B$11, D306)</f>
        <v>0.055</v>
      </c>
      <c r="F306" s="22" t="n">
        <f aca="false">C306*E306</f>
        <v>18328.75</v>
      </c>
      <c r="G306" s="21" t="n">
        <f aca="false">INDEX('AMC &amp; Spares % Assumptions'!$C$5:$C$11, D306)</f>
        <v>0.06</v>
      </c>
      <c r="H306" s="22" t="n">
        <f aca="false">C306*G306</f>
        <v>19995</v>
      </c>
      <c r="I306" s="23" t="n">
        <f aca="false">F306+H306</f>
        <v>38323.75</v>
      </c>
    </row>
    <row r="307" customFormat="false" ht="15" hidden="false" customHeight="false" outlineLevel="0" collapsed="false">
      <c r="A307" s="19" t="str">
        <f aca="false">'Client-Product Master'!B45</f>
        <v>Balaji Engineers &amp; Contractors.</v>
      </c>
      <c r="B307" s="19" t="str">
        <f aca="false">'Client-Product Master'!C45</f>
        <v>6 TON WEIGH SCALE SPARRE</v>
      </c>
      <c r="C307" s="20" t="n">
        <f aca="false">'Client-Product Master'!E45</f>
        <v>333250</v>
      </c>
      <c r="D307" s="8" t="n">
        <v>5</v>
      </c>
      <c r="E307" s="21" t="n">
        <f aca="false">INDEX('AMC &amp; Spares % Assumptions'!$B$5:$B$11, D307)</f>
        <v>0.06</v>
      </c>
      <c r="F307" s="22" t="n">
        <f aca="false">C307*E307</f>
        <v>19995</v>
      </c>
      <c r="G307" s="21" t="n">
        <f aca="false">INDEX('AMC &amp; Spares % Assumptions'!$C$5:$C$11, D307)</f>
        <v>0.075</v>
      </c>
      <c r="H307" s="22" t="n">
        <f aca="false">C307*G307</f>
        <v>24993.75</v>
      </c>
      <c r="I307" s="23" t="n">
        <f aca="false">F307+H307</f>
        <v>44988.75</v>
      </c>
    </row>
    <row r="308" customFormat="false" ht="15" hidden="false" customHeight="false" outlineLevel="0" collapsed="false">
      <c r="A308" s="19" t="str">
        <f aca="false">'Client-Product Master'!B45</f>
        <v>Balaji Engineers &amp; Contractors.</v>
      </c>
      <c r="B308" s="19" t="str">
        <f aca="false">'Client-Product Master'!C45</f>
        <v>6 TON WEIGH SCALE SPARRE</v>
      </c>
      <c r="C308" s="20" t="n">
        <f aca="false">'Client-Product Master'!E45</f>
        <v>333250</v>
      </c>
      <c r="D308" s="8" t="n">
        <v>6</v>
      </c>
      <c r="E308" s="21" t="n">
        <f aca="false">INDEX('AMC &amp; Spares % Assumptions'!$B$5:$B$11, D308)</f>
        <v>0.065</v>
      </c>
      <c r="F308" s="22" t="n">
        <f aca="false">C308*E308</f>
        <v>21661.25</v>
      </c>
      <c r="G308" s="21" t="n">
        <f aca="false">INDEX('AMC &amp; Spares % Assumptions'!$C$5:$C$11, D308)</f>
        <v>0.085</v>
      </c>
      <c r="H308" s="22" t="n">
        <f aca="false">C308*G308</f>
        <v>28326.25</v>
      </c>
      <c r="I308" s="23" t="n">
        <f aca="false">F308+H308</f>
        <v>49987.5</v>
      </c>
    </row>
    <row r="309" customFormat="false" ht="15" hidden="false" customHeight="false" outlineLevel="0" collapsed="false">
      <c r="A309" s="19" t="str">
        <f aca="false">'Client-Product Master'!B45</f>
        <v>Balaji Engineers &amp; Contractors.</v>
      </c>
      <c r="B309" s="19" t="str">
        <f aca="false">'Client-Product Master'!C45</f>
        <v>6 TON WEIGH SCALE SPARRE</v>
      </c>
      <c r="C309" s="20" t="n">
        <f aca="false">'Client-Product Master'!E45</f>
        <v>333250</v>
      </c>
      <c r="D309" s="8" t="n">
        <v>7</v>
      </c>
      <c r="E309" s="21" t="n">
        <f aca="false">INDEX('AMC &amp; Spares % Assumptions'!$B$5:$B$11, D309)</f>
        <v>0.07</v>
      </c>
      <c r="F309" s="22" t="n">
        <f aca="false">C309*E309</f>
        <v>23327.5</v>
      </c>
      <c r="G309" s="21" t="n">
        <f aca="false">INDEX('AMC &amp; Spares % Assumptions'!$C$5:$C$11, D309)</f>
        <v>0.095</v>
      </c>
      <c r="H309" s="22" t="n">
        <f aca="false">C309*G309</f>
        <v>31658.75</v>
      </c>
      <c r="I309" s="23" t="n">
        <f aca="false">F309+H309</f>
        <v>54986.25</v>
      </c>
    </row>
    <row r="310" customFormat="false" ht="15" hidden="false" customHeight="false" outlineLevel="0" collapsed="false">
      <c r="A310" s="19" t="str">
        <f aca="false">'Client-Product Master'!B46</f>
        <v>ELECTRO PNEUMATICS AND HYDRAULICS (INDIA) PVT LTD</v>
      </c>
      <c r="B310" s="19" t="str">
        <f aca="false">'Client-Product Master'!C46</f>
        <v>Load cell required for existing weighing system of Wagon Tipplers</v>
      </c>
      <c r="C310" s="20" t="n">
        <f aca="false">'Client-Product Master'!E46</f>
        <v>0</v>
      </c>
      <c r="D310" s="8" t="n">
        <v>1</v>
      </c>
      <c r="E310" s="21" t="n">
        <f aca="false">INDEX('AMC &amp; Spares % Assumptions'!$B$5:$B$11, D310)</f>
        <v>0.015</v>
      </c>
      <c r="F310" s="22" t="n">
        <f aca="false">C310*E310</f>
        <v>0</v>
      </c>
      <c r="G310" s="21" t="n">
        <f aca="false">INDEX('AMC &amp; Spares % Assumptions'!$C$5:$C$11, D310)</f>
        <v>0.01</v>
      </c>
      <c r="H310" s="22" t="n">
        <f aca="false">C310*G310</f>
        <v>0</v>
      </c>
      <c r="I310" s="23" t="n">
        <f aca="false">F310+H310</f>
        <v>0</v>
      </c>
    </row>
    <row r="311" customFormat="false" ht="15" hidden="false" customHeight="false" outlineLevel="0" collapsed="false">
      <c r="A311" s="19" t="str">
        <f aca="false">'Client-Product Master'!B46</f>
        <v>ELECTRO PNEUMATICS AND HYDRAULICS (INDIA) PVT LTD</v>
      </c>
      <c r="B311" s="19" t="str">
        <f aca="false">'Client-Product Master'!C46</f>
        <v>Load cell required for existing weighing system of Wagon Tipplers</v>
      </c>
      <c r="C311" s="20" t="n">
        <f aca="false">'Client-Product Master'!E46</f>
        <v>0</v>
      </c>
      <c r="D311" s="8" t="n">
        <v>2</v>
      </c>
      <c r="E311" s="21" t="n">
        <f aca="false">INDEX('AMC &amp; Spares % Assumptions'!$B$5:$B$11, D311)</f>
        <v>0.03</v>
      </c>
      <c r="F311" s="22" t="n">
        <f aca="false">C311*E311</f>
        <v>0</v>
      </c>
      <c r="G311" s="21" t="n">
        <f aca="false">INDEX('AMC &amp; Spares % Assumptions'!$C$5:$C$11, D311)</f>
        <v>0.025</v>
      </c>
      <c r="H311" s="22" t="n">
        <f aca="false">C311*G311</f>
        <v>0</v>
      </c>
      <c r="I311" s="23" t="n">
        <f aca="false">F311+H311</f>
        <v>0</v>
      </c>
    </row>
    <row r="312" customFormat="false" ht="15" hidden="false" customHeight="false" outlineLevel="0" collapsed="false">
      <c r="A312" s="19" t="str">
        <f aca="false">'Client-Product Master'!B46</f>
        <v>ELECTRO PNEUMATICS AND HYDRAULICS (INDIA) PVT LTD</v>
      </c>
      <c r="B312" s="19" t="str">
        <f aca="false">'Client-Product Master'!C46</f>
        <v>Load cell required for existing weighing system of Wagon Tipplers</v>
      </c>
      <c r="C312" s="20" t="n">
        <f aca="false">'Client-Product Master'!E46</f>
        <v>0</v>
      </c>
      <c r="D312" s="8" t="n">
        <v>3</v>
      </c>
      <c r="E312" s="21" t="n">
        <f aca="false">INDEX('AMC &amp; Spares % Assumptions'!$B$5:$B$11, D312)</f>
        <v>0.045</v>
      </c>
      <c r="F312" s="22" t="n">
        <f aca="false">C312*E312</f>
        <v>0</v>
      </c>
      <c r="G312" s="21" t="n">
        <f aca="false">INDEX('AMC &amp; Spares % Assumptions'!$C$5:$C$11, D312)</f>
        <v>0.045</v>
      </c>
      <c r="H312" s="22" t="n">
        <f aca="false">C312*G312</f>
        <v>0</v>
      </c>
      <c r="I312" s="23" t="n">
        <f aca="false">F312+H312</f>
        <v>0</v>
      </c>
    </row>
    <row r="313" customFormat="false" ht="15" hidden="false" customHeight="false" outlineLevel="0" collapsed="false">
      <c r="A313" s="19" t="str">
        <f aca="false">'Client-Product Master'!B46</f>
        <v>ELECTRO PNEUMATICS AND HYDRAULICS (INDIA) PVT LTD</v>
      </c>
      <c r="B313" s="19" t="str">
        <f aca="false">'Client-Product Master'!C46</f>
        <v>Load cell required for existing weighing system of Wagon Tipplers</v>
      </c>
      <c r="C313" s="20" t="n">
        <f aca="false">'Client-Product Master'!E46</f>
        <v>0</v>
      </c>
      <c r="D313" s="8" t="n">
        <v>4</v>
      </c>
      <c r="E313" s="21" t="n">
        <f aca="false">INDEX('AMC &amp; Spares % Assumptions'!$B$5:$B$11, D313)</f>
        <v>0.055</v>
      </c>
      <c r="F313" s="22" t="n">
        <f aca="false">C313*E313</f>
        <v>0</v>
      </c>
      <c r="G313" s="21" t="n">
        <f aca="false">INDEX('AMC &amp; Spares % Assumptions'!$C$5:$C$11, D313)</f>
        <v>0.06</v>
      </c>
      <c r="H313" s="22" t="n">
        <f aca="false">C313*G313</f>
        <v>0</v>
      </c>
      <c r="I313" s="23" t="n">
        <f aca="false">F313+H313</f>
        <v>0</v>
      </c>
    </row>
    <row r="314" customFormat="false" ht="15" hidden="false" customHeight="false" outlineLevel="0" collapsed="false">
      <c r="A314" s="19" t="str">
        <f aca="false">'Client-Product Master'!B46</f>
        <v>ELECTRO PNEUMATICS AND HYDRAULICS (INDIA) PVT LTD</v>
      </c>
      <c r="B314" s="19" t="str">
        <f aca="false">'Client-Product Master'!C46</f>
        <v>Load cell required for existing weighing system of Wagon Tipplers</v>
      </c>
      <c r="C314" s="20" t="n">
        <f aca="false">'Client-Product Master'!E46</f>
        <v>0</v>
      </c>
      <c r="D314" s="8" t="n">
        <v>5</v>
      </c>
      <c r="E314" s="21" t="n">
        <f aca="false">INDEX('AMC &amp; Spares % Assumptions'!$B$5:$B$11, D314)</f>
        <v>0.06</v>
      </c>
      <c r="F314" s="22" t="n">
        <f aca="false">C314*E314</f>
        <v>0</v>
      </c>
      <c r="G314" s="21" t="n">
        <f aca="false">INDEX('AMC &amp; Spares % Assumptions'!$C$5:$C$11, D314)</f>
        <v>0.075</v>
      </c>
      <c r="H314" s="22" t="n">
        <f aca="false">C314*G314</f>
        <v>0</v>
      </c>
      <c r="I314" s="23" t="n">
        <f aca="false">F314+H314</f>
        <v>0</v>
      </c>
    </row>
    <row r="315" customFormat="false" ht="15" hidden="false" customHeight="false" outlineLevel="0" collapsed="false">
      <c r="A315" s="19" t="str">
        <f aca="false">'Client-Product Master'!B46</f>
        <v>ELECTRO PNEUMATICS AND HYDRAULICS (INDIA) PVT LTD</v>
      </c>
      <c r="B315" s="19" t="str">
        <f aca="false">'Client-Product Master'!C46</f>
        <v>Load cell required for existing weighing system of Wagon Tipplers</v>
      </c>
      <c r="C315" s="20" t="n">
        <f aca="false">'Client-Product Master'!E46</f>
        <v>0</v>
      </c>
      <c r="D315" s="8" t="n">
        <v>6</v>
      </c>
      <c r="E315" s="21" t="n">
        <f aca="false">INDEX('AMC &amp; Spares % Assumptions'!$B$5:$B$11, D315)</f>
        <v>0.065</v>
      </c>
      <c r="F315" s="22" t="n">
        <f aca="false">C315*E315</f>
        <v>0</v>
      </c>
      <c r="G315" s="21" t="n">
        <f aca="false">INDEX('AMC &amp; Spares % Assumptions'!$C$5:$C$11, D315)</f>
        <v>0.085</v>
      </c>
      <c r="H315" s="22" t="n">
        <f aca="false">C315*G315</f>
        <v>0</v>
      </c>
      <c r="I315" s="23" t="n">
        <f aca="false">F315+H315</f>
        <v>0</v>
      </c>
    </row>
    <row r="316" customFormat="false" ht="15" hidden="false" customHeight="false" outlineLevel="0" collapsed="false">
      <c r="A316" s="19" t="str">
        <f aca="false">'Client-Product Master'!B46</f>
        <v>ELECTRO PNEUMATICS AND HYDRAULICS (INDIA) PVT LTD</v>
      </c>
      <c r="B316" s="19" t="str">
        <f aca="false">'Client-Product Master'!C46</f>
        <v>Load cell required for existing weighing system of Wagon Tipplers</v>
      </c>
      <c r="C316" s="20" t="n">
        <f aca="false">'Client-Product Master'!E46</f>
        <v>0</v>
      </c>
      <c r="D316" s="8" t="n">
        <v>7</v>
      </c>
      <c r="E316" s="21" t="n">
        <f aca="false">INDEX('AMC &amp; Spares % Assumptions'!$B$5:$B$11, D316)</f>
        <v>0.07</v>
      </c>
      <c r="F316" s="22" t="n">
        <f aca="false">C316*E316</f>
        <v>0</v>
      </c>
      <c r="G316" s="21" t="n">
        <f aca="false">INDEX('AMC &amp; Spares % Assumptions'!$C$5:$C$11, D316)</f>
        <v>0.095</v>
      </c>
      <c r="H316" s="22" t="n">
        <f aca="false">C316*G316</f>
        <v>0</v>
      </c>
      <c r="I316" s="23" t="n">
        <f aca="false">F316+H316</f>
        <v>0</v>
      </c>
    </row>
    <row r="317" customFormat="false" ht="15" hidden="false" customHeight="false" outlineLevel="0" collapsed="false">
      <c r="A317" s="19" t="str">
        <f aca="false">'Client-Product Master'!B47</f>
        <v>JSW Steel Limited</v>
      </c>
      <c r="B317" s="19" t="str">
        <f aca="false">'Client-Product Master'!C47</f>
        <v>Weigh bridges Spare</v>
      </c>
      <c r="C317" s="20" t="n">
        <f aca="false">'Client-Product Master'!E47</f>
        <v>0</v>
      </c>
      <c r="D317" s="8" t="n">
        <v>1</v>
      </c>
      <c r="E317" s="21" t="n">
        <f aca="false">INDEX('AMC &amp; Spares % Assumptions'!$B$5:$B$11, D317)</f>
        <v>0.015</v>
      </c>
      <c r="F317" s="22" t="n">
        <f aca="false">C317*E317</f>
        <v>0</v>
      </c>
      <c r="G317" s="21" t="n">
        <f aca="false">INDEX('AMC &amp; Spares % Assumptions'!$C$5:$C$11, D317)</f>
        <v>0.01</v>
      </c>
      <c r="H317" s="22" t="n">
        <f aca="false">C317*G317</f>
        <v>0</v>
      </c>
      <c r="I317" s="23" t="n">
        <f aca="false">F317+H317</f>
        <v>0</v>
      </c>
    </row>
    <row r="318" customFormat="false" ht="15" hidden="false" customHeight="false" outlineLevel="0" collapsed="false">
      <c r="A318" s="19" t="str">
        <f aca="false">'Client-Product Master'!B47</f>
        <v>JSW Steel Limited</v>
      </c>
      <c r="B318" s="19" t="str">
        <f aca="false">'Client-Product Master'!C47</f>
        <v>Weigh bridges Spare</v>
      </c>
      <c r="C318" s="20" t="n">
        <f aca="false">'Client-Product Master'!E47</f>
        <v>0</v>
      </c>
      <c r="D318" s="8" t="n">
        <v>2</v>
      </c>
      <c r="E318" s="21" t="n">
        <f aca="false">INDEX('AMC &amp; Spares % Assumptions'!$B$5:$B$11, D318)</f>
        <v>0.03</v>
      </c>
      <c r="F318" s="22" t="n">
        <f aca="false">C318*E318</f>
        <v>0</v>
      </c>
      <c r="G318" s="21" t="n">
        <f aca="false">INDEX('AMC &amp; Spares % Assumptions'!$C$5:$C$11, D318)</f>
        <v>0.025</v>
      </c>
      <c r="H318" s="22" t="n">
        <f aca="false">C318*G318</f>
        <v>0</v>
      </c>
      <c r="I318" s="23" t="n">
        <f aca="false">F318+H318</f>
        <v>0</v>
      </c>
    </row>
    <row r="319" customFormat="false" ht="15" hidden="false" customHeight="false" outlineLevel="0" collapsed="false">
      <c r="A319" s="19" t="str">
        <f aca="false">'Client-Product Master'!B47</f>
        <v>JSW Steel Limited</v>
      </c>
      <c r="B319" s="19" t="str">
        <f aca="false">'Client-Product Master'!C47</f>
        <v>Weigh bridges Spare</v>
      </c>
      <c r="C319" s="20" t="n">
        <f aca="false">'Client-Product Master'!E47</f>
        <v>0</v>
      </c>
      <c r="D319" s="8" t="n">
        <v>3</v>
      </c>
      <c r="E319" s="21" t="n">
        <f aca="false">INDEX('AMC &amp; Spares % Assumptions'!$B$5:$B$11, D319)</f>
        <v>0.045</v>
      </c>
      <c r="F319" s="22" t="n">
        <f aca="false">C319*E319</f>
        <v>0</v>
      </c>
      <c r="G319" s="21" t="n">
        <f aca="false">INDEX('AMC &amp; Spares % Assumptions'!$C$5:$C$11, D319)</f>
        <v>0.045</v>
      </c>
      <c r="H319" s="22" t="n">
        <f aca="false">C319*G319</f>
        <v>0</v>
      </c>
      <c r="I319" s="23" t="n">
        <f aca="false">F319+H319</f>
        <v>0</v>
      </c>
    </row>
    <row r="320" customFormat="false" ht="15" hidden="false" customHeight="false" outlineLevel="0" collapsed="false">
      <c r="A320" s="19" t="str">
        <f aca="false">'Client-Product Master'!B47</f>
        <v>JSW Steel Limited</v>
      </c>
      <c r="B320" s="19" t="str">
        <f aca="false">'Client-Product Master'!C47</f>
        <v>Weigh bridges Spare</v>
      </c>
      <c r="C320" s="20" t="n">
        <f aca="false">'Client-Product Master'!E47</f>
        <v>0</v>
      </c>
      <c r="D320" s="8" t="n">
        <v>4</v>
      </c>
      <c r="E320" s="21" t="n">
        <f aca="false">INDEX('AMC &amp; Spares % Assumptions'!$B$5:$B$11, D320)</f>
        <v>0.055</v>
      </c>
      <c r="F320" s="22" t="n">
        <f aca="false">C320*E320</f>
        <v>0</v>
      </c>
      <c r="G320" s="21" t="n">
        <f aca="false">INDEX('AMC &amp; Spares % Assumptions'!$C$5:$C$11, D320)</f>
        <v>0.06</v>
      </c>
      <c r="H320" s="22" t="n">
        <f aca="false">C320*G320</f>
        <v>0</v>
      </c>
      <c r="I320" s="23" t="n">
        <f aca="false">F320+H320</f>
        <v>0</v>
      </c>
    </row>
    <row r="321" customFormat="false" ht="15" hidden="false" customHeight="false" outlineLevel="0" collapsed="false">
      <c r="A321" s="19" t="str">
        <f aca="false">'Client-Product Master'!B47</f>
        <v>JSW Steel Limited</v>
      </c>
      <c r="B321" s="19" t="str">
        <f aca="false">'Client-Product Master'!C47</f>
        <v>Weigh bridges Spare</v>
      </c>
      <c r="C321" s="20" t="n">
        <f aca="false">'Client-Product Master'!E47</f>
        <v>0</v>
      </c>
      <c r="D321" s="8" t="n">
        <v>5</v>
      </c>
      <c r="E321" s="21" t="n">
        <f aca="false">INDEX('AMC &amp; Spares % Assumptions'!$B$5:$B$11, D321)</f>
        <v>0.06</v>
      </c>
      <c r="F321" s="22" t="n">
        <f aca="false">C321*E321</f>
        <v>0</v>
      </c>
      <c r="G321" s="21" t="n">
        <f aca="false">INDEX('AMC &amp; Spares % Assumptions'!$C$5:$C$11, D321)</f>
        <v>0.075</v>
      </c>
      <c r="H321" s="22" t="n">
        <f aca="false">C321*G321</f>
        <v>0</v>
      </c>
      <c r="I321" s="23" t="n">
        <f aca="false">F321+H321</f>
        <v>0</v>
      </c>
    </row>
    <row r="322" customFormat="false" ht="15" hidden="false" customHeight="false" outlineLevel="0" collapsed="false">
      <c r="A322" s="19" t="str">
        <f aca="false">'Client-Product Master'!B47</f>
        <v>JSW Steel Limited</v>
      </c>
      <c r="B322" s="19" t="str">
        <f aca="false">'Client-Product Master'!C47</f>
        <v>Weigh bridges Spare</v>
      </c>
      <c r="C322" s="20" t="n">
        <f aca="false">'Client-Product Master'!E47</f>
        <v>0</v>
      </c>
      <c r="D322" s="8" t="n">
        <v>6</v>
      </c>
      <c r="E322" s="21" t="n">
        <f aca="false">INDEX('AMC &amp; Spares % Assumptions'!$B$5:$B$11, D322)</f>
        <v>0.065</v>
      </c>
      <c r="F322" s="22" t="n">
        <f aca="false">C322*E322</f>
        <v>0</v>
      </c>
      <c r="G322" s="21" t="n">
        <f aca="false">INDEX('AMC &amp; Spares % Assumptions'!$C$5:$C$11, D322)</f>
        <v>0.085</v>
      </c>
      <c r="H322" s="22" t="n">
        <f aca="false">C322*G322</f>
        <v>0</v>
      </c>
      <c r="I322" s="23" t="n">
        <f aca="false">F322+H322</f>
        <v>0</v>
      </c>
    </row>
    <row r="323" customFormat="false" ht="15" hidden="false" customHeight="false" outlineLevel="0" collapsed="false">
      <c r="A323" s="19" t="str">
        <f aca="false">'Client-Product Master'!B47</f>
        <v>JSW Steel Limited</v>
      </c>
      <c r="B323" s="19" t="str">
        <f aca="false">'Client-Product Master'!C47</f>
        <v>Weigh bridges Spare</v>
      </c>
      <c r="C323" s="20" t="n">
        <f aca="false">'Client-Product Master'!E47</f>
        <v>0</v>
      </c>
      <c r="D323" s="8" t="n">
        <v>7</v>
      </c>
      <c r="E323" s="21" t="n">
        <f aca="false">INDEX('AMC &amp; Spares % Assumptions'!$B$5:$B$11, D323)</f>
        <v>0.07</v>
      </c>
      <c r="F323" s="22" t="n">
        <f aca="false">C323*E323</f>
        <v>0</v>
      </c>
      <c r="G323" s="21" t="n">
        <f aca="false">INDEX('AMC &amp; Spares % Assumptions'!$C$5:$C$11, D323)</f>
        <v>0.095</v>
      </c>
      <c r="H323" s="22" t="n">
        <f aca="false">C323*G323</f>
        <v>0</v>
      </c>
      <c r="I323" s="23" t="n">
        <f aca="false">F323+H323</f>
        <v>0</v>
      </c>
    </row>
    <row r="324" customFormat="false" ht="15" hidden="false" customHeight="false" outlineLevel="0" collapsed="false">
      <c r="A324" s="19" t="str">
        <f aca="false">'Client-Product Master'!B48</f>
        <v>JSW BPSL</v>
      </c>
      <c r="B324" s="19" t="str">
        <f aca="false">'Client-Product Master'!C48</f>
        <v>SPARE OFFER FOR STEEL RAIL WEIGHING SYSTEM</v>
      </c>
      <c r="C324" s="20" t="n">
        <f aca="false">'Client-Product Master'!E48</f>
        <v>870000</v>
      </c>
      <c r="D324" s="8" t="n">
        <v>1</v>
      </c>
      <c r="E324" s="21" t="n">
        <f aca="false">INDEX('AMC &amp; Spares % Assumptions'!$B$5:$B$11, D324)</f>
        <v>0.015</v>
      </c>
      <c r="F324" s="22" t="n">
        <f aca="false">C324*E324</f>
        <v>13050</v>
      </c>
      <c r="G324" s="21" t="n">
        <f aca="false">INDEX('AMC &amp; Spares % Assumptions'!$C$5:$C$11, D324)</f>
        <v>0.01</v>
      </c>
      <c r="H324" s="22" t="n">
        <f aca="false">C324*G324</f>
        <v>8700</v>
      </c>
      <c r="I324" s="23" t="n">
        <f aca="false">F324+H324</f>
        <v>21750</v>
      </c>
    </row>
    <row r="325" customFormat="false" ht="15" hidden="false" customHeight="false" outlineLevel="0" collapsed="false">
      <c r="A325" s="19" t="str">
        <f aca="false">'Client-Product Master'!B48</f>
        <v>JSW BPSL</v>
      </c>
      <c r="B325" s="19" t="str">
        <f aca="false">'Client-Product Master'!C48</f>
        <v>SPARE OFFER FOR STEEL RAIL WEIGHING SYSTEM</v>
      </c>
      <c r="C325" s="20" t="n">
        <f aca="false">'Client-Product Master'!E48</f>
        <v>870000</v>
      </c>
      <c r="D325" s="8" t="n">
        <v>2</v>
      </c>
      <c r="E325" s="21" t="n">
        <f aca="false">INDEX('AMC &amp; Spares % Assumptions'!$B$5:$B$11, D325)</f>
        <v>0.03</v>
      </c>
      <c r="F325" s="22" t="n">
        <f aca="false">C325*E325</f>
        <v>26100</v>
      </c>
      <c r="G325" s="21" t="n">
        <f aca="false">INDEX('AMC &amp; Spares % Assumptions'!$C$5:$C$11, D325)</f>
        <v>0.025</v>
      </c>
      <c r="H325" s="22" t="n">
        <f aca="false">C325*G325</f>
        <v>21750</v>
      </c>
      <c r="I325" s="23" t="n">
        <f aca="false">F325+H325</f>
        <v>47850</v>
      </c>
    </row>
    <row r="326" customFormat="false" ht="15" hidden="false" customHeight="false" outlineLevel="0" collapsed="false">
      <c r="A326" s="19" t="str">
        <f aca="false">'Client-Product Master'!B48</f>
        <v>JSW BPSL</v>
      </c>
      <c r="B326" s="19" t="str">
        <f aca="false">'Client-Product Master'!C48</f>
        <v>SPARE OFFER FOR STEEL RAIL WEIGHING SYSTEM</v>
      </c>
      <c r="C326" s="20" t="n">
        <f aca="false">'Client-Product Master'!E48</f>
        <v>870000</v>
      </c>
      <c r="D326" s="8" t="n">
        <v>3</v>
      </c>
      <c r="E326" s="21" t="n">
        <f aca="false">INDEX('AMC &amp; Spares % Assumptions'!$B$5:$B$11, D326)</f>
        <v>0.045</v>
      </c>
      <c r="F326" s="22" t="n">
        <f aca="false">C326*E326</f>
        <v>39150</v>
      </c>
      <c r="G326" s="21" t="n">
        <f aca="false">INDEX('AMC &amp; Spares % Assumptions'!$C$5:$C$11, D326)</f>
        <v>0.045</v>
      </c>
      <c r="H326" s="22" t="n">
        <f aca="false">C326*G326</f>
        <v>39150</v>
      </c>
      <c r="I326" s="23" t="n">
        <f aca="false">F326+H326</f>
        <v>78300</v>
      </c>
    </row>
    <row r="327" customFormat="false" ht="15" hidden="false" customHeight="false" outlineLevel="0" collapsed="false">
      <c r="A327" s="19" t="str">
        <f aca="false">'Client-Product Master'!B48</f>
        <v>JSW BPSL</v>
      </c>
      <c r="B327" s="19" t="str">
        <f aca="false">'Client-Product Master'!C48</f>
        <v>SPARE OFFER FOR STEEL RAIL WEIGHING SYSTEM</v>
      </c>
      <c r="C327" s="20" t="n">
        <f aca="false">'Client-Product Master'!E48</f>
        <v>870000</v>
      </c>
      <c r="D327" s="8" t="n">
        <v>4</v>
      </c>
      <c r="E327" s="21" t="n">
        <f aca="false">INDEX('AMC &amp; Spares % Assumptions'!$B$5:$B$11, D327)</f>
        <v>0.055</v>
      </c>
      <c r="F327" s="22" t="n">
        <f aca="false">C327*E327</f>
        <v>47850</v>
      </c>
      <c r="G327" s="21" t="n">
        <f aca="false">INDEX('AMC &amp; Spares % Assumptions'!$C$5:$C$11, D327)</f>
        <v>0.06</v>
      </c>
      <c r="H327" s="22" t="n">
        <f aca="false">C327*G327</f>
        <v>52200</v>
      </c>
      <c r="I327" s="23" t="n">
        <f aca="false">F327+H327</f>
        <v>100050</v>
      </c>
    </row>
    <row r="328" customFormat="false" ht="15" hidden="false" customHeight="false" outlineLevel="0" collapsed="false">
      <c r="A328" s="19" t="str">
        <f aca="false">'Client-Product Master'!B48</f>
        <v>JSW BPSL</v>
      </c>
      <c r="B328" s="19" t="str">
        <f aca="false">'Client-Product Master'!C48</f>
        <v>SPARE OFFER FOR STEEL RAIL WEIGHING SYSTEM</v>
      </c>
      <c r="C328" s="20" t="n">
        <f aca="false">'Client-Product Master'!E48</f>
        <v>870000</v>
      </c>
      <c r="D328" s="8" t="n">
        <v>5</v>
      </c>
      <c r="E328" s="21" t="n">
        <f aca="false">INDEX('AMC &amp; Spares % Assumptions'!$B$5:$B$11, D328)</f>
        <v>0.06</v>
      </c>
      <c r="F328" s="22" t="n">
        <f aca="false">C328*E328</f>
        <v>52200</v>
      </c>
      <c r="G328" s="21" t="n">
        <f aca="false">INDEX('AMC &amp; Spares % Assumptions'!$C$5:$C$11, D328)</f>
        <v>0.075</v>
      </c>
      <c r="H328" s="22" t="n">
        <f aca="false">C328*G328</f>
        <v>65250</v>
      </c>
      <c r="I328" s="23" t="n">
        <f aca="false">F328+H328</f>
        <v>117450</v>
      </c>
    </row>
    <row r="329" customFormat="false" ht="15" hidden="false" customHeight="false" outlineLevel="0" collapsed="false">
      <c r="A329" s="19" t="str">
        <f aca="false">'Client-Product Master'!B48</f>
        <v>JSW BPSL</v>
      </c>
      <c r="B329" s="19" t="str">
        <f aca="false">'Client-Product Master'!C48</f>
        <v>SPARE OFFER FOR STEEL RAIL WEIGHING SYSTEM</v>
      </c>
      <c r="C329" s="20" t="n">
        <f aca="false">'Client-Product Master'!E48</f>
        <v>870000</v>
      </c>
      <c r="D329" s="8" t="n">
        <v>6</v>
      </c>
      <c r="E329" s="21" t="n">
        <f aca="false">INDEX('AMC &amp; Spares % Assumptions'!$B$5:$B$11, D329)</f>
        <v>0.065</v>
      </c>
      <c r="F329" s="22" t="n">
        <f aca="false">C329*E329</f>
        <v>56550</v>
      </c>
      <c r="G329" s="21" t="n">
        <f aca="false">INDEX('AMC &amp; Spares % Assumptions'!$C$5:$C$11, D329)</f>
        <v>0.085</v>
      </c>
      <c r="H329" s="22" t="n">
        <f aca="false">C329*G329</f>
        <v>73950</v>
      </c>
      <c r="I329" s="23" t="n">
        <f aca="false">F329+H329</f>
        <v>130500</v>
      </c>
    </row>
    <row r="330" customFormat="false" ht="15" hidden="false" customHeight="false" outlineLevel="0" collapsed="false">
      <c r="A330" s="19" t="str">
        <f aca="false">'Client-Product Master'!B48</f>
        <v>JSW BPSL</v>
      </c>
      <c r="B330" s="19" t="str">
        <f aca="false">'Client-Product Master'!C48</f>
        <v>SPARE OFFER FOR STEEL RAIL WEIGHING SYSTEM</v>
      </c>
      <c r="C330" s="20" t="n">
        <f aca="false">'Client-Product Master'!E48</f>
        <v>870000</v>
      </c>
      <c r="D330" s="8" t="n">
        <v>7</v>
      </c>
      <c r="E330" s="21" t="n">
        <f aca="false">INDEX('AMC &amp; Spares % Assumptions'!$B$5:$B$11, D330)</f>
        <v>0.07</v>
      </c>
      <c r="F330" s="22" t="n">
        <f aca="false">C330*E330</f>
        <v>60900</v>
      </c>
      <c r="G330" s="21" t="n">
        <f aca="false">INDEX('AMC &amp; Spares % Assumptions'!$C$5:$C$11, D330)</f>
        <v>0.095</v>
      </c>
      <c r="H330" s="22" t="n">
        <f aca="false">C330*G330</f>
        <v>82650</v>
      </c>
      <c r="I330" s="23" t="n">
        <f aca="false">F330+H330</f>
        <v>143550</v>
      </c>
    </row>
    <row r="331" customFormat="false" ht="15" hidden="false" customHeight="false" outlineLevel="0" collapsed="false">
      <c r="A331" s="19" t="str">
        <f aca="false">'Client-Product Master'!B49</f>
        <v>Kirloskar Ferrous Industries Ltd Steel Plant</v>
      </c>
      <c r="B331" s="19" t="str">
        <f aca="false">'Client-Product Master'!C49</f>
        <v>LOAD CELL SPARES OFFER FOR 200-TON LADLE WEIGH BRIDGE</v>
      </c>
      <c r="C331" s="20" t="n">
        <f aca="false">'Client-Product Master'!E49</f>
        <v>400000</v>
      </c>
      <c r="D331" s="8" t="n">
        <v>1</v>
      </c>
      <c r="E331" s="21" t="n">
        <f aca="false">INDEX('AMC &amp; Spares % Assumptions'!$B$5:$B$11, D331)</f>
        <v>0.015</v>
      </c>
      <c r="F331" s="22" t="n">
        <f aca="false">C331*E331</f>
        <v>6000</v>
      </c>
      <c r="G331" s="21" t="n">
        <f aca="false">INDEX('AMC &amp; Spares % Assumptions'!$C$5:$C$11, D331)</f>
        <v>0.01</v>
      </c>
      <c r="H331" s="22" t="n">
        <f aca="false">C331*G331</f>
        <v>4000</v>
      </c>
      <c r="I331" s="23" t="n">
        <f aca="false">F331+H331</f>
        <v>10000</v>
      </c>
    </row>
    <row r="332" customFormat="false" ht="15" hidden="false" customHeight="false" outlineLevel="0" collapsed="false">
      <c r="A332" s="19" t="str">
        <f aca="false">'Client-Product Master'!B49</f>
        <v>Kirloskar Ferrous Industries Ltd Steel Plant</v>
      </c>
      <c r="B332" s="19" t="str">
        <f aca="false">'Client-Product Master'!C49</f>
        <v>LOAD CELL SPARES OFFER FOR 200-TON LADLE WEIGH BRIDGE</v>
      </c>
      <c r="C332" s="20" t="n">
        <f aca="false">'Client-Product Master'!E49</f>
        <v>400000</v>
      </c>
      <c r="D332" s="8" t="n">
        <v>2</v>
      </c>
      <c r="E332" s="21" t="n">
        <f aca="false">INDEX('AMC &amp; Spares % Assumptions'!$B$5:$B$11, D332)</f>
        <v>0.03</v>
      </c>
      <c r="F332" s="22" t="n">
        <f aca="false">C332*E332</f>
        <v>12000</v>
      </c>
      <c r="G332" s="21" t="n">
        <f aca="false">INDEX('AMC &amp; Spares % Assumptions'!$C$5:$C$11, D332)</f>
        <v>0.025</v>
      </c>
      <c r="H332" s="22" t="n">
        <f aca="false">C332*G332</f>
        <v>10000</v>
      </c>
      <c r="I332" s="23" t="n">
        <f aca="false">F332+H332</f>
        <v>22000</v>
      </c>
    </row>
    <row r="333" customFormat="false" ht="15" hidden="false" customHeight="false" outlineLevel="0" collapsed="false">
      <c r="A333" s="19" t="str">
        <f aca="false">'Client-Product Master'!B49</f>
        <v>Kirloskar Ferrous Industries Ltd Steel Plant</v>
      </c>
      <c r="B333" s="19" t="str">
        <f aca="false">'Client-Product Master'!C49</f>
        <v>LOAD CELL SPARES OFFER FOR 200-TON LADLE WEIGH BRIDGE</v>
      </c>
      <c r="C333" s="20" t="n">
        <f aca="false">'Client-Product Master'!E49</f>
        <v>400000</v>
      </c>
      <c r="D333" s="8" t="n">
        <v>3</v>
      </c>
      <c r="E333" s="21" t="n">
        <f aca="false">INDEX('AMC &amp; Spares % Assumptions'!$B$5:$B$11, D333)</f>
        <v>0.045</v>
      </c>
      <c r="F333" s="22" t="n">
        <f aca="false">C333*E333</f>
        <v>18000</v>
      </c>
      <c r="G333" s="21" t="n">
        <f aca="false">INDEX('AMC &amp; Spares % Assumptions'!$C$5:$C$11, D333)</f>
        <v>0.045</v>
      </c>
      <c r="H333" s="22" t="n">
        <f aca="false">C333*G333</f>
        <v>18000</v>
      </c>
      <c r="I333" s="23" t="n">
        <f aca="false">F333+H333</f>
        <v>36000</v>
      </c>
    </row>
    <row r="334" customFormat="false" ht="15" hidden="false" customHeight="false" outlineLevel="0" collapsed="false">
      <c r="A334" s="19" t="str">
        <f aca="false">'Client-Product Master'!B49</f>
        <v>Kirloskar Ferrous Industries Ltd Steel Plant</v>
      </c>
      <c r="B334" s="19" t="str">
        <f aca="false">'Client-Product Master'!C49</f>
        <v>LOAD CELL SPARES OFFER FOR 200-TON LADLE WEIGH BRIDGE</v>
      </c>
      <c r="C334" s="20" t="n">
        <f aca="false">'Client-Product Master'!E49</f>
        <v>400000</v>
      </c>
      <c r="D334" s="8" t="n">
        <v>4</v>
      </c>
      <c r="E334" s="21" t="n">
        <f aca="false">INDEX('AMC &amp; Spares % Assumptions'!$B$5:$B$11, D334)</f>
        <v>0.055</v>
      </c>
      <c r="F334" s="22" t="n">
        <f aca="false">C334*E334</f>
        <v>22000</v>
      </c>
      <c r="G334" s="21" t="n">
        <f aca="false">INDEX('AMC &amp; Spares % Assumptions'!$C$5:$C$11, D334)</f>
        <v>0.06</v>
      </c>
      <c r="H334" s="22" t="n">
        <f aca="false">C334*G334</f>
        <v>24000</v>
      </c>
      <c r="I334" s="23" t="n">
        <f aca="false">F334+H334</f>
        <v>46000</v>
      </c>
    </row>
    <row r="335" customFormat="false" ht="15" hidden="false" customHeight="false" outlineLevel="0" collapsed="false">
      <c r="A335" s="19" t="str">
        <f aca="false">'Client-Product Master'!B49</f>
        <v>Kirloskar Ferrous Industries Ltd Steel Plant</v>
      </c>
      <c r="B335" s="19" t="str">
        <f aca="false">'Client-Product Master'!C49</f>
        <v>LOAD CELL SPARES OFFER FOR 200-TON LADLE WEIGH BRIDGE</v>
      </c>
      <c r="C335" s="20" t="n">
        <f aca="false">'Client-Product Master'!E49</f>
        <v>400000</v>
      </c>
      <c r="D335" s="8" t="n">
        <v>5</v>
      </c>
      <c r="E335" s="21" t="n">
        <f aca="false">INDEX('AMC &amp; Spares % Assumptions'!$B$5:$B$11, D335)</f>
        <v>0.06</v>
      </c>
      <c r="F335" s="22" t="n">
        <f aca="false">C335*E335</f>
        <v>24000</v>
      </c>
      <c r="G335" s="21" t="n">
        <f aca="false">INDEX('AMC &amp; Spares % Assumptions'!$C$5:$C$11, D335)</f>
        <v>0.075</v>
      </c>
      <c r="H335" s="22" t="n">
        <f aca="false">C335*G335</f>
        <v>30000</v>
      </c>
      <c r="I335" s="23" t="n">
        <f aca="false">F335+H335</f>
        <v>54000</v>
      </c>
    </row>
    <row r="336" customFormat="false" ht="15" hidden="false" customHeight="false" outlineLevel="0" collapsed="false">
      <c r="A336" s="19" t="str">
        <f aca="false">'Client-Product Master'!B49</f>
        <v>Kirloskar Ferrous Industries Ltd Steel Plant</v>
      </c>
      <c r="B336" s="19" t="str">
        <f aca="false">'Client-Product Master'!C49</f>
        <v>LOAD CELL SPARES OFFER FOR 200-TON LADLE WEIGH BRIDGE</v>
      </c>
      <c r="C336" s="20" t="n">
        <f aca="false">'Client-Product Master'!E49</f>
        <v>400000</v>
      </c>
      <c r="D336" s="8" t="n">
        <v>6</v>
      </c>
      <c r="E336" s="21" t="n">
        <f aca="false">INDEX('AMC &amp; Spares % Assumptions'!$B$5:$B$11, D336)</f>
        <v>0.065</v>
      </c>
      <c r="F336" s="22" t="n">
        <f aca="false">C336*E336</f>
        <v>26000</v>
      </c>
      <c r="G336" s="21" t="n">
        <f aca="false">INDEX('AMC &amp; Spares % Assumptions'!$C$5:$C$11, D336)</f>
        <v>0.085</v>
      </c>
      <c r="H336" s="22" t="n">
        <f aca="false">C336*G336</f>
        <v>34000</v>
      </c>
      <c r="I336" s="23" t="n">
        <f aca="false">F336+H336</f>
        <v>60000</v>
      </c>
    </row>
    <row r="337" customFormat="false" ht="15" hidden="false" customHeight="false" outlineLevel="0" collapsed="false">
      <c r="A337" s="19" t="str">
        <f aca="false">'Client-Product Master'!B49</f>
        <v>Kirloskar Ferrous Industries Ltd Steel Plant</v>
      </c>
      <c r="B337" s="19" t="str">
        <f aca="false">'Client-Product Master'!C49</f>
        <v>LOAD CELL SPARES OFFER FOR 200-TON LADLE WEIGH BRIDGE</v>
      </c>
      <c r="C337" s="20" t="n">
        <f aca="false">'Client-Product Master'!E49</f>
        <v>400000</v>
      </c>
      <c r="D337" s="8" t="n">
        <v>7</v>
      </c>
      <c r="E337" s="21" t="n">
        <f aca="false">INDEX('AMC &amp; Spares % Assumptions'!$B$5:$B$11, D337)</f>
        <v>0.07</v>
      </c>
      <c r="F337" s="22" t="n">
        <f aca="false">C337*E337</f>
        <v>28000</v>
      </c>
      <c r="G337" s="21" t="n">
        <f aca="false">INDEX('AMC &amp; Spares % Assumptions'!$C$5:$C$11, D337)</f>
        <v>0.095</v>
      </c>
      <c r="H337" s="22" t="n">
        <f aca="false">C337*G337</f>
        <v>38000</v>
      </c>
      <c r="I337" s="23" t="n">
        <f aca="false">F337+H337</f>
        <v>66000</v>
      </c>
    </row>
    <row r="338" customFormat="false" ht="15" hidden="false" customHeight="false" outlineLevel="0" collapsed="false">
      <c r="A338" s="19" t="str">
        <f aca="false">'Client-Product Master'!B50</f>
        <v>TAMILIIADU CEMENTS CORPORATION LTD</v>
      </c>
      <c r="B338" s="19" t="str">
        <f aca="false">'Client-Product Master'!C50</f>
        <v>Spares For Bloom Weighing System</v>
      </c>
      <c r="C338" s="20" t="n">
        <f aca="false">'Client-Product Master'!E50</f>
        <v>675000</v>
      </c>
      <c r="D338" s="8" t="n">
        <v>1</v>
      </c>
      <c r="E338" s="21" t="n">
        <f aca="false">INDEX('AMC &amp; Spares % Assumptions'!$B$5:$B$11, D338)</f>
        <v>0.015</v>
      </c>
      <c r="F338" s="22" t="n">
        <f aca="false">C338*E338</f>
        <v>10125</v>
      </c>
      <c r="G338" s="21" t="n">
        <f aca="false">INDEX('AMC &amp; Spares % Assumptions'!$C$5:$C$11, D338)</f>
        <v>0.01</v>
      </c>
      <c r="H338" s="22" t="n">
        <f aca="false">C338*G338</f>
        <v>6750</v>
      </c>
      <c r="I338" s="23" t="n">
        <f aca="false">F338+H338</f>
        <v>16875</v>
      </c>
    </row>
    <row r="339" customFormat="false" ht="15" hidden="false" customHeight="false" outlineLevel="0" collapsed="false">
      <c r="A339" s="19" t="str">
        <f aca="false">'Client-Product Master'!B50</f>
        <v>TAMILIIADU CEMENTS CORPORATION LTD</v>
      </c>
      <c r="B339" s="19" t="str">
        <f aca="false">'Client-Product Master'!C50</f>
        <v>Spares For Bloom Weighing System</v>
      </c>
      <c r="C339" s="20" t="n">
        <f aca="false">'Client-Product Master'!E50</f>
        <v>675000</v>
      </c>
      <c r="D339" s="8" t="n">
        <v>2</v>
      </c>
      <c r="E339" s="21" t="n">
        <f aca="false">INDEX('AMC &amp; Spares % Assumptions'!$B$5:$B$11, D339)</f>
        <v>0.03</v>
      </c>
      <c r="F339" s="22" t="n">
        <f aca="false">C339*E339</f>
        <v>20250</v>
      </c>
      <c r="G339" s="21" t="n">
        <f aca="false">INDEX('AMC &amp; Spares % Assumptions'!$C$5:$C$11, D339)</f>
        <v>0.025</v>
      </c>
      <c r="H339" s="22" t="n">
        <f aca="false">C339*G339</f>
        <v>16875</v>
      </c>
      <c r="I339" s="23" t="n">
        <f aca="false">F339+H339</f>
        <v>37125</v>
      </c>
    </row>
    <row r="340" customFormat="false" ht="15" hidden="false" customHeight="false" outlineLevel="0" collapsed="false">
      <c r="A340" s="19" t="str">
        <f aca="false">'Client-Product Master'!B50</f>
        <v>TAMILIIADU CEMENTS CORPORATION LTD</v>
      </c>
      <c r="B340" s="19" t="str">
        <f aca="false">'Client-Product Master'!C50</f>
        <v>Spares For Bloom Weighing System</v>
      </c>
      <c r="C340" s="20" t="n">
        <f aca="false">'Client-Product Master'!E50</f>
        <v>675000</v>
      </c>
      <c r="D340" s="8" t="n">
        <v>3</v>
      </c>
      <c r="E340" s="21" t="n">
        <f aca="false">INDEX('AMC &amp; Spares % Assumptions'!$B$5:$B$11, D340)</f>
        <v>0.045</v>
      </c>
      <c r="F340" s="22" t="n">
        <f aca="false">C340*E340</f>
        <v>30375</v>
      </c>
      <c r="G340" s="21" t="n">
        <f aca="false">INDEX('AMC &amp; Spares % Assumptions'!$C$5:$C$11, D340)</f>
        <v>0.045</v>
      </c>
      <c r="H340" s="22" t="n">
        <f aca="false">C340*G340</f>
        <v>30375</v>
      </c>
      <c r="I340" s="23" t="n">
        <f aca="false">F340+H340</f>
        <v>60750</v>
      </c>
    </row>
    <row r="341" customFormat="false" ht="15" hidden="false" customHeight="false" outlineLevel="0" collapsed="false">
      <c r="A341" s="19" t="str">
        <f aca="false">'Client-Product Master'!B50</f>
        <v>TAMILIIADU CEMENTS CORPORATION LTD</v>
      </c>
      <c r="B341" s="19" t="str">
        <f aca="false">'Client-Product Master'!C50</f>
        <v>Spares For Bloom Weighing System</v>
      </c>
      <c r="C341" s="20" t="n">
        <f aca="false">'Client-Product Master'!E50</f>
        <v>675000</v>
      </c>
      <c r="D341" s="8" t="n">
        <v>4</v>
      </c>
      <c r="E341" s="21" t="n">
        <f aca="false">INDEX('AMC &amp; Spares % Assumptions'!$B$5:$B$11, D341)</f>
        <v>0.055</v>
      </c>
      <c r="F341" s="22" t="n">
        <f aca="false">C341*E341</f>
        <v>37125</v>
      </c>
      <c r="G341" s="21" t="n">
        <f aca="false">INDEX('AMC &amp; Spares % Assumptions'!$C$5:$C$11, D341)</f>
        <v>0.06</v>
      </c>
      <c r="H341" s="22" t="n">
        <f aca="false">C341*G341</f>
        <v>40500</v>
      </c>
      <c r="I341" s="23" t="n">
        <f aca="false">F341+H341</f>
        <v>77625</v>
      </c>
    </row>
    <row r="342" customFormat="false" ht="15" hidden="false" customHeight="false" outlineLevel="0" collapsed="false">
      <c r="A342" s="19" t="str">
        <f aca="false">'Client-Product Master'!B50</f>
        <v>TAMILIIADU CEMENTS CORPORATION LTD</v>
      </c>
      <c r="B342" s="19" t="str">
        <f aca="false">'Client-Product Master'!C50</f>
        <v>Spares For Bloom Weighing System</v>
      </c>
      <c r="C342" s="20" t="n">
        <f aca="false">'Client-Product Master'!E50</f>
        <v>675000</v>
      </c>
      <c r="D342" s="8" t="n">
        <v>5</v>
      </c>
      <c r="E342" s="21" t="n">
        <f aca="false">INDEX('AMC &amp; Spares % Assumptions'!$B$5:$B$11, D342)</f>
        <v>0.06</v>
      </c>
      <c r="F342" s="22" t="n">
        <f aca="false">C342*E342</f>
        <v>40500</v>
      </c>
      <c r="G342" s="21" t="n">
        <f aca="false">INDEX('AMC &amp; Spares % Assumptions'!$C$5:$C$11, D342)</f>
        <v>0.075</v>
      </c>
      <c r="H342" s="22" t="n">
        <f aca="false">C342*G342</f>
        <v>50625</v>
      </c>
      <c r="I342" s="23" t="n">
        <f aca="false">F342+H342</f>
        <v>91125</v>
      </c>
    </row>
    <row r="343" customFormat="false" ht="15" hidden="false" customHeight="false" outlineLevel="0" collapsed="false">
      <c r="A343" s="19" t="str">
        <f aca="false">'Client-Product Master'!B50</f>
        <v>TAMILIIADU CEMENTS CORPORATION LTD</v>
      </c>
      <c r="B343" s="19" t="str">
        <f aca="false">'Client-Product Master'!C50</f>
        <v>Spares For Bloom Weighing System</v>
      </c>
      <c r="C343" s="20" t="n">
        <f aca="false">'Client-Product Master'!E50</f>
        <v>675000</v>
      </c>
      <c r="D343" s="8" t="n">
        <v>6</v>
      </c>
      <c r="E343" s="21" t="n">
        <f aca="false">INDEX('AMC &amp; Spares % Assumptions'!$B$5:$B$11, D343)</f>
        <v>0.065</v>
      </c>
      <c r="F343" s="22" t="n">
        <f aca="false">C343*E343</f>
        <v>43875</v>
      </c>
      <c r="G343" s="21" t="n">
        <f aca="false">INDEX('AMC &amp; Spares % Assumptions'!$C$5:$C$11, D343)</f>
        <v>0.085</v>
      </c>
      <c r="H343" s="22" t="n">
        <f aca="false">C343*G343</f>
        <v>57375</v>
      </c>
      <c r="I343" s="23" t="n">
        <f aca="false">F343+H343</f>
        <v>101250</v>
      </c>
    </row>
    <row r="344" customFormat="false" ht="15" hidden="false" customHeight="false" outlineLevel="0" collapsed="false">
      <c r="A344" s="19" t="str">
        <f aca="false">'Client-Product Master'!B50</f>
        <v>TAMILIIADU CEMENTS CORPORATION LTD</v>
      </c>
      <c r="B344" s="19" t="str">
        <f aca="false">'Client-Product Master'!C50</f>
        <v>Spares For Bloom Weighing System</v>
      </c>
      <c r="C344" s="20" t="n">
        <f aca="false">'Client-Product Master'!E50</f>
        <v>675000</v>
      </c>
      <c r="D344" s="8" t="n">
        <v>7</v>
      </c>
      <c r="E344" s="21" t="n">
        <f aca="false">INDEX('AMC &amp; Spares % Assumptions'!$B$5:$B$11, D344)</f>
        <v>0.07</v>
      </c>
      <c r="F344" s="22" t="n">
        <f aca="false">C344*E344</f>
        <v>47250</v>
      </c>
      <c r="G344" s="21" t="n">
        <f aca="false">INDEX('AMC &amp; Spares % Assumptions'!$C$5:$C$11, D344)</f>
        <v>0.095</v>
      </c>
      <c r="H344" s="22" t="n">
        <f aca="false">C344*G344</f>
        <v>64125</v>
      </c>
      <c r="I344" s="23" t="n">
        <f aca="false">F344+H344</f>
        <v>111375</v>
      </c>
    </row>
    <row r="345" customFormat="false" ht="15" hidden="false" customHeight="false" outlineLevel="0" collapsed="false">
      <c r="A345" s="19" t="str">
        <f aca="false">'Client-Product Master'!B51</f>
        <v>JSW JFE Steel Limited</v>
      </c>
      <c r="B345" s="19" t="str">
        <f aca="false">'Client-Product Master'!C51</f>
        <v>in motion Weighbridge</v>
      </c>
      <c r="C345" s="20" t="n">
        <f aca="false">'Client-Product Master'!E51</f>
        <v>860000</v>
      </c>
      <c r="D345" s="8" t="n">
        <v>1</v>
      </c>
      <c r="E345" s="21" t="n">
        <f aca="false">INDEX('AMC &amp; Spares % Assumptions'!$B$5:$B$11, D345)</f>
        <v>0.015</v>
      </c>
      <c r="F345" s="22" t="n">
        <f aca="false">C345*E345</f>
        <v>12900</v>
      </c>
      <c r="G345" s="21" t="n">
        <f aca="false">INDEX('AMC &amp; Spares % Assumptions'!$C$5:$C$11, D345)</f>
        <v>0.01</v>
      </c>
      <c r="H345" s="22" t="n">
        <f aca="false">C345*G345</f>
        <v>8600</v>
      </c>
      <c r="I345" s="23" t="n">
        <f aca="false">F345+H345</f>
        <v>21500</v>
      </c>
    </row>
    <row r="346" customFormat="false" ht="15" hidden="false" customHeight="false" outlineLevel="0" collapsed="false">
      <c r="A346" s="19" t="str">
        <f aca="false">'Client-Product Master'!B51</f>
        <v>JSW JFE Steel Limited</v>
      </c>
      <c r="B346" s="19" t="str">
        <f aca="false">'Client-Product Master'!C51</f>
        <v>in motion Weighbridge</v>
      </c>
      <c r="C346" s="20" t="n">
        <f aca="false">'Client-Product Master'!E51</f>
        <v>860000</v>
      </c>
      <c r="D346" s="8" t="n">
        <v>2</v>
      </c>
      <c r="E346" s="21" t="n">
        <f aca="false">INDEX('AMC &amp; Spares % Assumptions'!$B$5:$B$11, D346)</f>
        <v>0.03</v>
      </c>
      <c r="F346" s="22" t="n">
        <f aca="false">C346*E346</f>
        <v>25800</v>
      </c>
      <c r="G346" s="21" t="n">
        <f aca="false">INDEX('AMC &amp; Spares % Assumptions'!$C$5:$C$11, D346)</f>
        <v>0.025</v>
      </c>
      <c r="H346" s="22" t="n">
        <f aca="false">C346*G346</f>
        <v>21500</v>
      </c>
      <c r="I346" s="23" t="n">
        <f aca="false">F346+H346</f>
        <v>47300</v>
      </c>
    </row>
    <row r="347" customFormat="false" ht="15" hidden="false" customHeight="false" outlineLevel="0" collapsed="false">
      <c r="A347" s="19" t="str">
        <f aca="false">'Client-Product Master'!B51</f>
        <v>JSW JFE Steel Limited</v>
      </c>
      <c r="B347" s="19" t="str">
        <f aca="false">'Client-Product Master'!C51</f>
        <v>in motion Weighbridge</v>
      </c>
      <c r="C347" s="20" t="n">
        <f aca="false">'Client-Product Master'!E51</f>
        <v>860000</v>
      </c>
      <c r="D347" s="8" t="n">
        <v>3</v>
      </c>
      <c r="E347" s="21" t="n">
        <f aca="false">INDEX('AMC &amp; Spares % Assumptions'!$B$5:$B$11, D347)</f>
        <v>0.045</v>
      </c>
      <c r="F347" s="22" t="n">
        <f aca="false">C347*E347</f>
        <v>38700</v>
      </c>
      <c r="G347" s="21" t="n">
        <f aca="false">INDEX('AMC &amp; Spares % Assumptions'!$C$5:$C$11, D347)</f>
        <v>0.045</v>
      </c>
      <c r="H347" s="22" t="n">
        <f aca="false">C347*G347</f>
        <v>38700</v>
      </c>
      <c r="I347" s="23" t="n">
        <f aca="false">F347+H347</f>
        <v>77400</v>
      </c>
    </row>
    <row r="348" customFormat="false" ht="15" hidden="false" customHeight="false" outlineLevel="0" collapsed="false">
      <c r="A348" s="19" t="str">
        <f aca="false">'Client-Product Master'!B51</f>
        <v>JSW JFE Steel Limited</v>
      </c>
      <c r="B348" s="19" t="str">
        <f aca="false">'Client-Product Master'!C51</f>
        <v>in motion Weighbridge</v>
      </c>
      <c r="C348" s="20" t="n">
        <f aca="false">'Client-Product Master'!E51</f>
        <v>860000</v>
      </c>
      <c r="D348" s="8" t="n">
        <v>4</v>
      </c>
      <c r="E348" s="21" t="n">
        <f aca="false">INDEX('AMC &amp; Spares % Assumptions'!$B$5:$B$11, D348)</f>
        <v>0.055</v>
      </c>
      <c r="F348" s="22" t="n">
        <f aca="false">C348*E348</f>
        <v>47300</v>
      </c>
      <c r="G348" s="21" t="n">
        <f aca="false">INDEX('AMC &amp; Spares % Assumptions'!$C$5:$C$11, D348)</f>
        <v>0.06</v>
      </c>
      <c r="H348" s="22" t="n">
        <f aca="false">C348*G348</f>
        <v>51600</v>
      </c>
      <c r="I348" s="23" t="n">
        <f aca="false">F348+H348</f>
        <v>98900</v>
      </c>
    </row>
    <row r="349" customFormat="false" ht="15" hidden="false" customHeight="false" outlineLevel="0" collapsed="false">
      <c r="A349" s="19" t="str">
        <f aca="false">'Client-Product Master'!B51</f>
        <v>JSW JFE Steel Limited</v>
      </c>
      <c r="B349" s="19" t="str">
        <f aca="false">'Client-Product Master'!C51</f>
        <v>in motion Weighbridge</v>
      </c>
      <c r="C349" s="20" t="n">
        <f aca="false">'Client-Product Master'!E51</f>
        <v>860000</v>
      </c>
      <c r="D349" s="8" t="n">
        <v>5</v>
      </c>
      <c r="E349" s="21" t="n">
        <f aca="false">INDEX('AMC &amp; Spares % Assumptions'!$B$5:$B$11, D349)</f>
        <v>0.06</v>
      </c>
      <c r="F349" s="22" t="n">
        <f aca="false">C349*E349</f>
        <v>51600</v>
      </c>
      <c r="G349" s="21" t="n">
        <f aca="false">INDEX('AMC &amp; Spares % Assumptions'!$C$5:$C$11, D349)</f>
        <v>0.075</v>
      </c>
      <c r="H349" s="22" t="n">
        <f aca="false">C349*G349</f>
        <v>64500</v>
      </c>
      <c r="I349" s="23" t="n">
        <f aca="false">F349+H349</f>
        <v>116100</v>
      </c>
    </row>
    <row r="350" customFormat="false" ht="15" hidden="false" customHeight="false" outlineLevel="0" collapsed="false">
      <c r="A350" s="19" t="str">
        <f aca="false">'Client-Product Master'!B51</f>
        <v>JSW JFE Steel Limited</v>
      </c>
      <c r="B350" s="19" t="str">
        <f aca="false">'Client-Product Master'!C51</f>
        <v>in motion Weighbridge</v>
      </c>
      <c r="C350" s="20" t="n">
        <f aca="false">'Client-Product Master'!E51</f>
        <v>860000</v>
      </c>
      <c r="D350" s="8" t="n">
        <v>6</v>
      </c>
      <c r="E350" s="21" t="n">
        <f aca="false">INDEX('AMC &amp; Spares % Assumptions'!$B$5:$B$11, D350)</f>
        <v>0.065</v>
      </c>
      <c r="F350" s="22" t="n">
        <f aca="false">C350*E350</f>
        <v>55900</v>
      </c>
      <c r="G350" s="21" t="n">
        <f aca="false">INDEX('AMC &amp; Spares % Assumptions'!$C$5:$C$11, D350)</f>
        <v>0.085</v>
      </c>
      <c r="H350" s="22" t="n">
        <f aca="false">C350*G350</f>
        <v>73100</v>
      </c>
      <c r="I350" s="23" t="n">
        <f aca="false">F350+H350</f>
        <v>129000</v>
      </c>
    </row>
    <row r="351" customFormat="false" ht="15" hidden="false" customHeight="false" outlineLevel="0" collapsed="false">
      <c r="A351" s="19" t="str">
        <f aca="false">'Client-Product Master'!B51</f>
        <v>JSW JFE Steel Limited</v>
      </c>
      <c r="B351" s="19" t="str">
        <f aca="false">'Client-Product Master'!C51</f>
        <v>in motion Weighbridge</v>
      </c>
      <c r="C351" s="20" t="n">
        <f aca="false">'Client-Product Master'!E51</f>
        <v>860000</v>
      </c>
      <c r="D351" s="8" t="n">
        <v>7</v>
      </c>
      <c r="E351" s="21" t="n">
        <f aca="false">INDEX('AMC &amp; Spares % Assumptions'!$B$5:$B$11, D351)</f>
        <v>0.07</v>
      </c>
      <c r="F351" s="22" t="n">
        <f aca="false">C351*E351</f>
        <v>60200</v>
      </c>
      <c r="G351" s="21" t="n">
        <f aca="false">INDEX('AMC &amp; Spares % Assumptions'!$C$5:$C$11, D351)</f>
        <v>0.095</v>
      </c>
      <c r="H351" s="22" t="n">
        <f aca="false">C351*G351</f>
        <v>81700</v>
      </c>
      <c r="I351" s="23" t="n">
        <f aca="false">F351+H351</f>
        <v>141900</v>
      </c>
    </row>
    <row r="352" customFormat="false" ht="15" hidden="false" customHeight="false" outlineLevel="0" collapsed="false">
      <c r="A352" s="19" t="str">
        <f aca="false">'Client-Product Master'!B52</f>
        <v>JSW Steel Limited</v>
      </c>
      <c r="B352" s="19" t="str">
        <f aca="false">'Client-Product Master'!C52</f>
        <v>Load Cell signal monitoring system</v>
      </c>
      <c r="C352" s="20" t="n">
        <f aca="false">'Client-Product Master'!E52</f>
        <v>0</v>
      </c>
      <c r="D352" s="8" t="n">
        <v>1</v>
      </c>
      <c r="E352" s="21" t="n">
        <f aca="false">INDEX('AMC &amp; Spares % Assumptions'!$B$5:$B$11, D352)</f>
        <v>0.015</v>
      </c>
      <c r="F352" s="22" t="n">
        <f aca="false">C352*E352</f>
        <v>0</v>
      </c>
      <c r="G352" s="21" t="n">
        <f aca="false">INDEX('AMC &amp; Spares % Assumptions'!$C$5:$C$11, D352)</f>
        <v>0.01</v>
      </c>
      <c r="H352" s="22" t="n">
        <f aca="false">C352*G352</f>
        <v>0</v>
      </c>
      <c r="I352" s="23" t="n">
        <f aca="false">F352+H352</f>
        <v>0</v>
      </c>
    </row>
    <row r="353" customFormat="false" ht="15" hidden="false" customHeight="false" outlineLevel="0" collapsed="false">
      <c r="A353" s="19" t="str">
        <f aca="false">'Client-Product Master'!B52</f>
        <v>JSW Steel Limited</v>
      </c>
      <c r="B353" s="19" t="str">
        <f aca="false">'Client-Product Master'!C52</f>
        <v>Load Cell signal monitoring system</v>
      </c>
      <c r="C353" s="20" t="n">
        <f aca="false">'Client-Product Master'!E52</f>
        <v>0</v>
      </c>
      <c r="D353" s="8" t="n">
        <v>2</v>
      </c>
      <c r="E353" s="21" t="n">
        <f aca="false">INDEX('AMC &amp; Spares % Assumptions'!$B$5:$B$11, D353)</f>
        <v>0.03</v>
      </c>
      <c r="F353" s="22" t="n">
        <f aca="false">C353*E353</f>
        <v>0</v>
      </c>
      <c r="G353" s="21" t="n">
        <f aca="false">INDEX('AMC &amp; Spares % Assumptions'!$C$5:$C$11, D353)</f>
        <v>0.025</v>
      </c>
      <c r="H353" s="22" t="n">
        <f aca="false">C353*G353</f>
        <v>0</v>
      </c>
      <c r="I353" s="23" t="n">
        <f aca="false">F353+H353</f>
        <v>0</v>
      </c>
    </row>
    <row r="354" customFormat="false" ht="15" hidden="false" customHeight="false" outlineLevel="0" collapsed="false">
      <c r="A354" s="19" t="str">
        <f aca="false">'Client-Product Master'!B52</f>
        <v>JSW Steel Limited</v>
      </c>
      <c r="B354" s="19" t="str">
        <f aca="false">'Client-Product Master'!C52</f>
        <v>Load Cell signal monitoring system</v>
      </c>
      <c r="C354" s="20" t="n">
        <f aca="false">'Client-Product Master'!E52</f>
        <v>0</v>
      </c>
      <c r="D354" s="8" t="n">
        <v>3</v>
      </c>
      <c r="E354" s="21" t="n">
        <f aca="false">INDEX('AMC &amp; Spares % Assumptions'!$B$5:$B$11, D354)</f>
        <v>0.045</v>
      </c>
      <c r="F354" s="22" t="n">
        <f aca="false">C354*E354</f>
        <v>0</v>
      </c>
      <c r="G354" s="21" t="n">
        <f aca="false">INDEX('AMC &amp; Spares % Assumptions'!$C$5:$C$11, D354)</f>
        <v>0.045</v>
      </c>
      <c r="H354" s="22" t="n">
        <f aca="false">C354*G354</f>
        <v>0</v>
      </c>
      <c r="I354" s="23" t="n">
        <f aca="false">F354+H354</f>
        <v>0</v>
      </c>
    </row>
    <row r="355" customFormat="false" ht="15" hidden="false" customHeight="false" outlineLevel="0" collapsed="false">
      <c r="A355" s="19" t="str">
        <f aca="false">'Client-Product Master'!B52</f>
        <v>JSW Steel Limited</v>
      </c>
      <c r="B355" s="19" t="str">
        <f aca="false">'Client-Product Master'!C52</f>
        <v>Load Cell signal monitoring system</v>
      </c>
      <c r="C355" s="20" t="n">
        <f aca="false">'Client-Product Master'!E52</f>
        <v>0</v>
      </c>
      <c r="D355" s="8" t="n">
        <v>4</v>
      </c>
      <c r="E355" s="21" t="n">
        <f aca="false">INDEX('AMC &amp; Spares % Assumptions'!$B$5:$B$11, D355)</f>
        <v>0.055</v>
      </c>
      <c r="F355" s="22" t="n">
        <f aca="false">C355*E355</f>
        <v>0</v>
      </c>
      <c r="G355" s="21" t="n">
        <f aca="false">INDEX('AMC &amp; Spares % Assumptions'!$C$5:$C$11, D355)</f>
        <v>0.06</v>
      </c>
      <c r="H355" s="22" t="n">
        <f aca="false">C355*G355</f>
        <v>0</v>
      </c>
      <c r="I355" s="23" t="n">
        <f aca="false">F355+H355</f>
        <v>0</v>
      </c>
    </row>
    <row r="356" customFormat="false" ht="15" hidden="false" customHeight="false" outlineLevel="0" collapsed="false">
      <c r="A356" s="19" t="str">
        <f aca="false">'Client-Product Master'!B52</f>
        <v>JSW Steel Limited</v>
      </c>
      <c r="B356" s="19" t="str">
        <f aca="false">'Client-Product Master'!C52</f>
        <v>Load Cell signal monitoring system</v>
      </c>
      <c r="C356" s="20" t="n">
        <f aca="false">'Client-Product Master'!E52</f>
        <v>0</v>
      </c>
      <c r="D356" s="8" t="n">
        <v>5</v>
      </c>
      <c r="E356" s="21" t="n">
        <f aca="false">INDEX('AMC &amp; Spares % Assumptions'!$B$5:$B$11, D356)</f>
        <v>0.06</v>
      </c>
      <c r="F356" s="22" t="n">
        <f aca="false">C356*E356</f>
        <v>0</v>
      </c>
      <c r="G356" s="21" t="n">
        <f aca="false">INDEX('AMC &amp; Spares % Assumptions'!$C$5:$C$11, D356)</f>
        <v>0.075</v>
      </c>
      <c r="H356" s="22" t="n">
        <f aca="false">C356*G356</f>
        <v>0</v>
      </c>
      <c r="I356" s="23" t="n">
        <f aca="false">F356+H356</f>
        <v>0</v>
      </c>
    </row>
    <row r="357" customFormat="false" ht="15" hidden="false" customHeight="false" outlineLevel="0" collapsed="false">
      <c r="A357" s="19" t="str">
        <f aca="false">'Client-Product Master'!B52</f>
        <v>JSW Steel Limited</v>
      </c>
      <c r="B357" s="19" t="str">
        <f aca="false">'Client-Product Master'!C52</f>
        <v>Load Cell signal monitoring system</v>
      </c>
      <c r="C357" s="20" t="n">
        <f aca="false">'Client-Product Master'!E52</f>
        <v>0</v>
      </c>
      <c r="D357" s="8" t="n">
        <v>6</v>
      </c>
      <c r="E357" s="21" t="n">
        <f aca="false">INDEX('AMC &amp; Spares % Assumptions'!$B$5:$B$11, D357)</f>
        <v>0.065</v>
      </c>
      <c r="F357" s="22" t="n">
        <f aca="false">C357*E357</f>
        <v>0</v>
      </c>
      <c r="G357" s="21" t="n">
        <f aca="false">INDEX('AMC &amp; Spares % Assumptions'!$C$5:$C$11, D357)</f>
        <v>0.085</v>
      </c>
      <c r="H357" s="22" t="n">
        <f aca="false">C357*G357</f>
        <v>0</v>
      </c>
      <c r="I357" s="23" t="n">
        <f aca="false">F357+H357</f>
        <v>0</v>
      </c>
    </row>
    <row r="358" customFormat="false" ht="15" hidden="false" customHeight="false" outlineLevel="0" collapsed="false">
      <c r="A358" s="19" t="str">
        <f aca="false">'Client-Product Master'!B52</f>
        <v>JSW Steel Limited</v>
      </c>
      <c r="B358" s="19" t="str">
        <f aca="false">'Client-Product Master'!C52</f>
        <v>Load Cell signal monitoring system</v>
      </c>
      <c r="C358" s="20" t="n">
        <f aca="false">'Client-Product Master'!E52</f>
        <v>0</v>
      </c>
      <c r="D358" s="8" t="n">
        <v>7</v>
      </c>
      <c r="E358" s="21" t="n">
        <f aca="false">INDEX('AMC &amp; Spares % Assumptions'!$B$5:$B$11, D358)</f>
        <v>0.07</v>
      </c>
      <c r="F358" s="22" t="n">
        <f aca="false">C358*E358</f>
        <v>0</v>
      </c>
      <c r="G358" s="21" t="n">
        <f aca="false">INDEX('AMC &amp; Spares % Assumptions'!$C$5:$C$11, D358)</f>
        <v>0.095</v>
      </c>
      <c r="H358" s="22" t="n">
        <f aca="false">C358*G358</f>
        <v>0</v>
      </c>
      <c r="I358" s="23" t="n">
        <f aca="false">F358+H358</f>
        <v>0</v>
      </c>
    </row>
    <row r="359" customFormat="false" ht="15" hidden="false" customHeight="false" outlineLevel="0" collapsed="false">
      <c r="A359" s="19" t="str">
        <f aca="false">'Client-Product Master'!B53</f>
        <v>Synergy Steels Limited</v>
      </c>
      <c r="B359" s="19" t="str">
        <f aca="false">'Client-Product Master'!C53</f>
        <v>SPARE FOR PITLESS WAGON TIPPLER WEIGHING SYSTEM</v>
      </c>
      <c r="C359" s="20" t="n">
        <f aca="false">'Client-Product Master'!E53</f>
        <v>0</v>
      </c>
      <c r="D359" s="8" t="n">
        <v>1</v>
      </c>
      <c r="E359" s="21" t="n">
        <f aca="false">INDEX('AMC &amp; Spares % Assumptions'!$B$5:$B$11, D359)</f>
        <v>0.015</v>
      </c>
      <c r="F359" s="22" t="n">
        <f aca="false">C359*E359</f>
        <v>0</v>
      </c>
      <c r="G359" s="21" t="n">
        <f aca="false">INDEX('AMC &amp; Spares % Assumptions'!$C$5:$C$11, D359)</f>
        <v>0.01</v>
      </c>
      <c r="H359" s="22" t="n">
        <f aca="false">C359*G359</f>
        <v>0</v>
      </c>
      <c r="I359" s="23" t="n">
        <f aca="false">F359+H359</f>
        <v>0</v>
      </c>
    </row>
    <row r="360" customFormat="false" ht="15" hidden="false" customHeight="false" outlineLevel="0" collapsed="false">
      <c r="A360" s="19" t="str">
        <f aca="false">'Client-Product Master'!B53</f>
        <v>Synergy Steels Limited</v>
      </c>
      <c r="B360" s="19" t="str">
        <f aca="false">'Client-Product Master'!C53</f>
        <v>SPARE FOR PITLESS WAGON TIPPLER WEIGHING SYSTEM</v>
      </c>
      <c r="C360" s="20" t="n">
        <f aca="false">'Client-Product Master'!E53</f>
        <v>0</v>
      </c>
      <c r="D360" s="8" t="n">
        <v>2</v>
      </c>
      <c r="E360" s="21" t="n">
        <f aca="false">INDEX('AMC &amp; Spares % Assumptions'!$B$5:$B$11, D360)</f>
        <v>0.03</v>
      </c>
      <c r="F360" s="22" t="n">
        <f aca="false">C360*E360</f>
        <v>0</v>
      </c>
      <c r="G360" s="21" t="n">
        <f aca="false">INDEX('AMC &amp; Spares % Assumptions'!$C$5:$C$11, D360)</f>
        <v>0.025</v>
      </c>
      <c r="H360" s="22" t="n">
        <f aca="false">C360*G360</f>
        <v>0</v>
      </c>
      <c r="I360" s="23" t="n">
        <f aca="false">F360+H360</f>
        <v>0</v>
      </c>
    </row>
    <row r="361" customFormat="false" ht="15" hidden="false" customHeight="false" outlineLevel="0" collapsed="false">
      <c r="A361" s="19" t="str">
        <f aca="false">'Client-Product Master'!B53</f>
        <v>Synergy Steels Limited</v>
      </c>
      <c r="B361" s="19" t="str">
        <f aca="false">'Client-Product Master'!C53</f>
        <v>SPARE FOR PITLESS WAGON TIPPLER WEIGHING SYSTEM</v>
      </c>
      <c r="C361" s="20" t="n">
        <f aca="false">'Client-Product Master'!E53</f>
        <v>0</v>
      </c>
      <c r="D361" s="8" t="n">
        <v>3</v>
      </c>
      <c r="E361" s="21" t="n">
        <f aca="false">INDEX('AMC &amp; Spares % Assumptions'!$B$5:$B$11, D361)</f>
        <v>0.045</v>
      </c>
      <c r="F361" s="22" t="n">
        <f aca="false">C361*E361</f>
        <v>0</v>
      </c>
      <c r="G361" s="21" t="n">
        <f aca="false">INDEX('AMC &amp; Spares % Assumptions'!$C$5:$C$11, D361)</f>
        <v>0.045</v>
      </c>
      <c r="H361" s="22" t="n">
        <f aca="false">C361*G361</f>
        <v>0</v>
      </c>
      <c r="I361" s="23" t="n">
        <f aca="false">F361+H361</f>
        <v>0</v>
      </c>
    </row>
    <row r="362" customFormat="false" ht="15" hidden="false" customHeight="false" outlineLevel="0" collapsed="false">
      <c r="A362" s="19" t="str">
        <f aca="false">'Client-Product Master'!B53</f>
        <v>Synergy Steels Limited</v>
      </c>
      <c r="B362" s="19" t="str">
        <f aca="false">'Client-Product Master'!C53</f>
        <v>SPARE FOR PITLESS WAGON TIPPLER WEIGHING SYSTEM</v>
      </c>
      <c r="C362" s="20" t="n">
        <f aca="false">'Client-Product Master'!E53</f>
        <v>0</v>
      </c>
      <c r="D362" s="8" t="n">
        <v>4</v>
      </c>
      <c r="E362" s="21" t="n">
        <f aca="false">INDEX('AMC &amp; Spares % Assumptions'!$B$5:$B$11, D362)</f>
        <v>0.055</v>
      </c>
      <c r="F362" s="22" t="n">
        <f aca="false">C362*E362</f>
        <v>0</v>
      </c>
      <c r="G362" s="21" t="n">
        <f aca="false">INDEX('AMC &amp; Spares % Assumptions'!$C$5:$C$11, D362)</f>
        <v>0.06</v>
      </c>
      <c r="H362" s="22" t="n">
        <f aca="false">C362*G362</f>
        <v>0</v>
      </c>
      <c r="I362" s="23" t="n">
        <f aca="false">F362+H362</f>
        <v>0</v>
      </c>
    </row>
    <row r="363" customFormat="false" ht="15" hidden="false" customHeight="false" outlineLevel="0" collapsed="false">
      <c r="A363" s="19" t="str">
        <f aca="false">'Client-Product Master'!B53</f>
        <v>Synergy Steels Limited</v>
      </c>
      <c r="B363" s="19" t="str">
        <f aca="false">'Client-Product Master'!C53</f>
        <v>SPARE FOR PITLESS WAGON TIPPLER WEIGHING SYSTEM</v>
      </c>
      <c r="C363" s="20" t="n">
        <f aca="false">'Client-Product Master'!E53</f>
        <v>0</v>
      </c>
      <c r="D363" s="8" t="n">
        <v>5</v>
      </c>
      <c r="E363" s="21" t="n">
        <f aca="false">INDEX('AMC &amp; Spares % Assumptions'!$B$5:$B$11, D363)</f>
        <v>0.06</v>
      </c>
      <c r="F363" s="22" t="n">
        <f aca="false">C363*E363</f>
        <v>0</v>
      </c>
      <c r="G363" s="21" t="n">
        <f aca="false">INDEX('AMC &amp; Spares % Assumptions'!$C$5:$C$11, D363)</f>
        <v>0.075</v>
      </c>
      <c r="H363" s="22" t="n">
        <f aca="false">C363*G363</f>
        <v>0</v>
      </c>
      <c r="I363" s="23" t="n">
        <f aca="false">F363+H363</f>
        <v>0</v>
      </c>
    </row>
    <row r="364" customFormat="false" ht="15" hidden="false" customHeight="false" outlineLevel="0" collapsed="false">
      <c r="A364" s="19" t="str">
        <f aca="false">'Client-Product Master'!B53</f>
        <v>Synergy Steels Limited</v>
      </c>
      <c r="B364" s="19" t="str">
        <f aca="false">'Client-Product Master'!C53</f>
        <v>SPARE FOR PITLESS WAGON TIPPLER WEIGHING SYSTEM</v>
      </c>
      <c r="C364" s="20" t="n">
        <f aca="false">'Client-Product Master'!E53</f>
        <v>0</v>
      </c>
      <c r="D364" s="8" t="n">
        <v>6</v>
      </c>
      <c r="E364" s="21" t="n">
        <f aca="false">INDEX('AMC &amp; Spares % Assumptions'!$B$5:$B$11, D364)</f>
        <v>0.065</v>
      </c>
      <c r="F364" s="22" t="n">
        <f aca="false">C364*E364</f>
        <v>0</v>
      </c>
      <c r="G364" s="21" t="n">
        <f aca="false">INDEX('AMC &amp; Spares % Assumptions'!$C$5:$C$11, D364)</f>
        <v>0.085</v>
      </c>
      <c r="H364" s="22" t="n">
        <f aca="false">C364*G364</f>
        <v>0</v>
      </c>
      <c r="I364" s="23" t="n">
        <f aca="false">F364+H364</f>
        <v>0</v>
      </c>
    </row>
    <row r="365" customFormat="false" ht="15" hidden="false" customHeight="false" outlineLevel="0" collapsed="false">
      <c r="A365" s="19" t="str">
        <f aca="false">'Client-Product Master'!B53</f>
        <v>Synergy Steels Limited</v>
      </c>
      <c r="B365" s="19" t="str">
        <f aca="false">'Client-Product Master'!C53</f>
        <v>SPARE FOR PITLESS WAGON TIPPLER WEIGHING SYSTEM</v>
      </c>
      <c r="C365" s="20" t="n">
        <f aca="false">'Client-Product Master'!E53</f>
        <v>0</v>
      </c>
      <c r="D365" s="8" t="n">
        <v>7</v>
      </c>
      <c r="E365" s="21" t="n">
        <f aca="false">INDEX('AMC &amp; Spares % Assumptions'!$B$5:$B$11, D365)</f>
        <v>0.07</v>
      </c>
      <c r="F365" s="22" t="n">
        <f aca="false">C365*E365</f>
        <v>0</v>
      </c>
      <c r="G365" s="21" t="n">
        <f aca="false">INDEX('AMC &amp; Spares % Assumptions'!$C$5:$C$11, D365)</f>
        <v>0.095</v>
      </c>
      <c r="H365" s="22" t="n">
        <f aca="false">C365*G365</f>
        <v>0</v>
      </c>
      <c r="I365" s="23" t="n">
        <f aca="false">F365+H365</f>
        <v>0</v>
      </c>
    </row>
    <row r="366" customFormat="false" ht="15" hidden="false" customHeight="false" outlineLevel="0" collapsed="false">
      <c r="A366" s="19" t="str">
        <f aca="false">'Client-Product Master'!B54</f>
        <v>adani gondia</v>
      </c>
      <c r="B366" s="19" t="str">
        <f aca="false">'Client-Product Master'!C54</f>
        <v>Load Sensor</v>
      </c>
      <c r="C366" s="20" t="n">
        <f aca="false">'Client-Product Master'!E54</f>
        <v>165000</v>
      </c>
      <c r="D366" s="8" t="n">
        <v>1</v>
      </c>
      <c r="E366" s="21" t="n">
        <f aca="false">INDEX('AMC &amp; Spares % Assumptions'!$B$5:$B$11, D366)</f>
        <v>0.015</v>
      </c>
      <c r="F366" s="22" t="n">
        <f aca="false">C366*E366</f>
        <v>2475</v>
      </c>
      <c r="G366" s="21" t="n">
        <f aca="false">INDEX('AMC &amp; Spares % Assumptions'!$C$5:$C$11, D366)</f>
        <v>0.01</v>
      </c>
      <c r="H366" s="22" t="n">
        <f aca="false">C366*G366</f>
        <v>1650</v>
      </c>
      <c r="I366" s="23" t="n">
        <f aca="false">F366+H366</f>
        <v>4125</v>
      </c>
    </row>
    <row r="367" customFormat="false" ht="15" hidden="false" customHeight="false" outlineLevel="0" collapsed="false">
      <c r="A367" s="19" t="str">
        <f aca="false">'Client-Product Master'!B54</f>
        <v>adani gondia</v>
      </c>
      <c r="B367" s="19" t="str">
        <f aca="false">'Client-Product Master'!C54</f>
        <v>Load Sensor</v>
      </c>
      <c r="C367" s="20" t="n">
        <f aca="false">'Client-Product Master'!E54</f>
        <v>165000</v>
      </c>
      <c r="D367" s="8" t="n">
        <v>2</v>
      </c>
      <c r="E367" s="21" t="n">
        <f aca="false">INDEX('AMC &amp; Spares % Assumptions'!$B$5:$B$11, D367)</f>
        <v>0.03</v>
      </c>
      <c r="F367" s="22" t="n">
        <f aca="false">C367*E367</f>
        <v>4950</v>
      </c>
      <c r="G367" s="21" t="n">
        <f aca="false">INDEX('AMC &amp; Spares % Assumptions'!$C$5:$C$11, D367)</f>
        <v>0.025</v>
      </c>
      <c r="H367" s="22" t="n">
        <f aca="false">C367*G367</f>
        <v>4125</v>
      </c>
      <c r="I367" s="23" t="n">
        <f aca="false">F367+H367</f>
        <v>9075</v>
      </c>
    </row>
    <row r="368" customFormat="false" ht="15" hidden="false" customHeight="false" outlineLevel="0" collapsed="false">
      <c r="A368" s="19" t="str">
        <f aca="false">'Client-Product Master'!B54</f>
        <v>adani gondia</v>
      </c>
      <c r="B368" s="19" t="str">
        <f aca="false">'Client-Product Master'!C54</f>
        <v>Load Sensor</v>
      </c>
      <c r="C368" s="20" t="n">
        <f aca="false">'Client-Product Master'!E54</f>
        <v>165000</v>
      </c>
      <c r="D368" s="8" t="n">
        <v>3</v>
      </c>
      <c r="E368" s="21" t="n">
        <f aca="false">INDEX('AMC &amp; Spares % Assumptions'!$B$5:$B$11, D368)</f>
        <v>0.045</v>
      </c>
      <c r="F368" s="22" t="n">
        <f aca="false">C368*E368</f>
        <v>7425</v>
      </c>
      <c r="G368" s="21" t="n">
        <f aca="false">INDEX('AMC &amp; Spares % Assumptions'!$C$5:$C$11, D368)</f>
        <v>0.045</v>
      </c>
      <c r="H368" s="22" t="n">
        <f aca="false">C368*G368</f>
        <v>7425</v>
      </c>
      <c r="I368" s="23" t="n">
        <f aca="false">F368+H368</f>
        <v>14850</v>
      </c>
    </row>
    <row r="369" customFormat="false" ht="15" hidden="false" customHeight="false" outlineLevel="0" collapsed="false">
      <c r="A369" s="19" t="str">
        <f aca="false">'Client-Product Master'!B54</f>
        <v>adani gondia</v>
      </c>
      <c r="B369" s="19" t="str">
        <f aca="false">'Client-Product Master'!C54</f>
        <v>Load Sensor</v>
      </c>
      <c r="C369" s="20" t="n">
        <f aca="false">'Client-Product Master'!E54</f>
        <v>165000</v>
      </c>
      <c r="D369" s="8" t="n">
        <v>4</v>
      </c>
      <c r="E369" s="21" t="n">
        <f aca="false">INDEX('AMC &amp; Spares % Assumptions'!$B$5:$B$11, D369)</f>
        <v>0.055</v>
      </c>
      <c r="F369" s="22" t="n">
        <f aca="false">C369*E369</f>
        <v>9075</v>
      </c>
      <c r="G369" s="21" t="n">
        <f aca="false">INDEX('AMC &amp; Spares % Assumptions'!$C$5:$C$11, D369)</f>
        <v>0.06</v>
      </c>
      <c r="H369" s="22" t="n">
        <f aca="false">C369*G369</f>
        <v>9900</v>
      </c>
      <c r="I369" s="23" t="n">
        <f aca="false">F369+H369</f>
        <v>18975</v>
      </c>
    </row>
    <row r="370" customFormat="false" ht="15" hidden="false" customHeight="false" outlineLevel="0" collapsed="false">
      <c r="A370" s="19" t="str">
        <f aca="false">'Client-Product Master'!B54</f>
        <v>adani gondia</v>
      </c>
      <c r="B370" s="19" t="str">
        <f aca="false">'Client-Product Master'!C54</f>
        <v>Load Sensor</v>
      </c>
      <c r="C370" s="20" t="n">
        <f aca="false">'Client-Product Master'!E54</f>
        <v>165000</v>
      </c>
      <c r="D370" s="8" t="n">
        <v>5</v>
      </c>
      <c r="E370" s="21" t="n">
        <f aca="false">INDEX('AMC &amp; Spares % Assumptions'!$B$5:$B$11, D370)</f>
        <v>0.06</v>
      </c>
      <c r="F370" s="22" t="n">
        <f aca="false">C370*E370</f>
        <v>9900</v>
      </c>
      <c r="G370" s="21" t="n">
        <f aca="false">INDEX('AMC &amp; Spares % Assumptions'!$C$5:$C$11, D370)</f>
        <v>0.075</v>
      </c>
      <c r="H370" s="22" t="n">
        <f aca="false">C370*G370</f>
        <v>12375</v>
      </c>
      <c r="I370" s="23" t="n">
        <f aca="false">F370+H370</f>
        <v>22275</v>
      </c>
    </row>
    <row r="371" customFormat="false" ht="15" hidden="false" customHeight="false" outlineLevel="0" collapsed="false">
      <c r="A371" s="19" t="str">
        <f aca="false">'Client-Product Master'!B54</f>
        <v>adani gondia</v>
      </c>
      <c r="B371" s="19" t="str">
        <f aca="false">'Client-Product Master'!C54</f>
        <v>Load Sensor</v>
      </c>
      <c r="C371" s="20" t="n">
        <f aca="false">'Client-Product Master'!E54</f>
        <v>165000</v>
      </c>
      <c r="D371" s="8" t="n">
        <v>6</v>
      </c>
      <c r="E371" s="21" t="n">
        <f aca="false">INDEX('AMC &amp; Spares % Assumptions'!$B$5:$B$11, D371)</f>
        <v>0.065</v>
      </c>
      <c r="F371" s="22" t="n">
        <f aca="false">C371*E371</f>
        <v>10725</v>
      </c>
      <c r="G371" s="21" t="n">
        <f aca="false">INDEX('AMC &amp; Spares % Assumptions'!$C$5:$C$11, D371)</f>
        <v>0.085</v>
      </c>
      <c r="H371" s="22" t="n">
        <f aca="false">C371*G371</f>
        <v>14025</v>
      </c>
      <c r="I371" s="23" t="n">
        <f aca="false">F371+H371</f>
        <v>24750</v>
      </c>
    </row>
    <row r="372" customFormat="false" ht="15" hidden="false" customHeight="false" outlineLevel="0" collapsed="false">
      <c r="A372" s="19" t="str">
        <f aca="false">'Client-Product Master'!B54</f>
        <v>adani gondia</v>
      </c>
      <c r="B372" s="19" t="str">
        <f aca="false">'Client-Product Master'!C54</f>
        <v>Load Sensor</v>
      </c>
      <c r="C372" s="20" t="n">
        <f aca="false">'Client-Product Master'!E54</f>
        <v>165000</v>
      </c>
      <c r="D372" s="8" t="n">
        <v>7</v>
      </c>
      <c r="E372" s="21" t="n">
        <f aca="false">INDEX('AMC &amp; Spares % Assumptions'!$B$5:$B$11, D372)</f>
        <v>0.07</v>
      </c>
      <c r="F372" s="22" t="n">
        <f aca="false">C372*E372</f>
        <v>11550</v>
      </c>
      <c r="G372" s="21" t="n">
        <f aca="false">INDEX('AMC &amp; Spares % Assumptions'!$C$5:$C$11, D372)</f>
        <v>0.095</v>
      </c>
      <c r="H372" s="22" t="n">
        <f aca="false">C372*G372</f>
        <v>15675</v>
      </c>
      <c r="I372" s="23" t="n">
        <f aca="false">F372+H372</f>
        <v>27225</v>
      </c>
    </row>
    <row r="373" customFormat="false" ht="15" hidden="false" customHeight="false" outlineLevel="0" collapsed="false">
      <c r="A373" s="19" t="str">
        <f aca="false">'Client-Product Master'!B55</f>
        <v>(Client name not provided in source - confirm)</v>
      </c>
      <c r="B373" s="19" t="str">
        <f aca="false">'Client-Product Master'!C55</f>
        <v>8 no load cell</v>
      </c>
      <c r="C373" s="20" t="n">
        <f aca="false">'Client-Product Master'!E55</f>
        <v>660000</v>
      </c>
      <c r="D373" s="8" t="n">
        <v>1</v>
      </c>
      <c r="E373" s="21" t="n">
        <f aca="false">INDEX('AMC &amp; Spares % Assumptions'!$B$5:$B$11, D373)</f>
        <v>0.015</v>
      </c>
      <c r="F373" s="22" t="n">
        <f aca="false">C373*E373</f>
        <v>9900</v>
      </c>
      <c r="G373" s="21" t="n">
        <f aca="false">INDEX('AMC &amp; Spares % Assumptions'!$C$5:$C$11, D373)</f>
        <v>0.01</v>
      </c>
      <c r="H373" s="22" t="n">
        <f aca="false">C373*G373</f>
        <v>6600</v>
      </c>
      <c r="I373" s="23" t="n">
        <f aca="false">F373+H373</f>
        <v>16500</v>
      </c>
    </row>
    <row r="374" customFormat="false" ht="15" hidden="false" customHeight="false" outlineLevel="0" collapsed="false">
      <c r="A374" s="19" t="str">
        <f aca="false">'Client-Product Master'!B55</f>
        <v>(Client name not provided in source - confirm)</v>
      </c>
      <c r="B374" s="19" t="str">
        <f aca="false">'Client-Product Master'!C55</f>
        <v>8 no load cell</v>
      </c>
      <c r="C374" s="20" t="n">
        <f aca="false">'Client-Product Master'!E55</f>
        <v>660000</v>
      </c>
      <c r="D374" s="8" t="n">
        <v>2</v>
      </c>
      <c r="E374" s="21" t="n">
        <f aca="false">INDEX('AMC &amp; Spares % Assumptions'!$B$5:$B$11, D374)</f>
        <v>0.03</v>
      </c>
      <c r="F374" s="22" t="n">
        <f aca="false">C374*E374</f>
        <v>19800</v>
      </c>
      <c r="G374" s="21" t="n">
        <f aca="false">INDEX('AMC &amp; Spares % Assumptions'!$C$5:$C$11, D374)</f>
        <v>0.025</v>
      </c>
      <c r="H374" s="22" t="n">
        <f aca="false">C374*G374</f>
        <v>16500</v>
      </c>
      <c r="I374" s="23" t="n">
        <f aca="false">F374+H374</f>
        <v>36300</v>
      </c>
    </row>
    <row r="375" customFormat="false" ht="15" hidden="false" customHeight="false" outlineLevel="0" collapsed="false">
      <c r="A375" s="19" t="str">
        <f aca="false">'Client-Product Master'!B55</f>
        <v>(Client name not provided in source - confirm)</v>
      </c>
      <c r="B375" s="19" t="str">
        <f aca="false">'Client-Product Master'!C55</f>
        <v>8 no load cell</v>
      </c>
      <c r="C375" s="20" t="n">
        <f aca="false">'Client-Product Master'!E55</f>
        <v>660000</v>
      </c>
      <c r="D375" s="8" t="n">
        <v>3</v>
      </c>
      <c r="E375" s="21" t="n">
        <f aca="false">INDEX('AMC &amp; Spares % Assumptions'!$B$5:$B$11, D375)</f>
        <v>0.045</v>
      </c>
      <c r="F375" s="22" t="n">
        <f aca="false">C375*E375</f>
        <v>29700</v>
      </c>
      <c r="G375" s="21" t="n">
        <f aca="false">INDEX('AMC &amp; Spares % Assumptions'!$C$5:$C$11, D375)</f>
        <v>0.045</v>
      </c>
      <c r="H375" s="22" t="n">
        <f aca="false">C375*G375</f>
        <v>29700</v>
      </c>
      <c r="I375" s="23" t="n">
        <f aca="false">F375+H375</f>
        <v>59400</v>
      </c>
    </row>
    <row r="376" customFormat="false" ht="15" hidden="false" customHeight="false" outlineLevel="0" collapsed="false">
      <c r="A376" s="19" t="str">
        <f aca="false">'Client-Product Master'!B55</f>
        <v>(Client name not provided in source - confirm)</v>
      </c>
      <c r="B376" s="19" t="str">
        <f aca="false">'Client-Product Master'!C55</f>
        <v>8 no load cell</v>
      </c>
      <c r="C376" s="20" t="n">
        <f aca="false">'Client-Product Master'!E55</f>
        <v>660000</v>
      </c>
      <c r="D376" s="8" t="n">
        <v>4</v>
      </c>
      <c r="E376" s="21" t="n">
        <f aca="false">INDEX('AMC &amp; Spares % Assumptions'!$B$5:$B$11, D376)</f>
        <v>0.055</v>
      </c>
      <c r="F376" s="22" t="n">
        <f aca="false">C376*E376</f>
        <v>36300</v>
      </c>
      <c r="G376" s="21" t="n">
        <f aca="false">INDEX('AMC &amp; Spares % Assumptions'!$C$5:$C$11, D376)</f>
        <v>0.06</v>
      </c>
      <c r="H376" s="22" t="n">
        <f aca="false">C376*G376</f>
        <v>39600</v>
      </c>
      <c r="I376" s="23" t="n">
        <f aca="false">F376+H376</f>
        <v>75900</v>
      </c>
    </row>
    <row r="377" customFormat="false" ht="15" hidden="false" customHeight="false" outlineLevel="0" collapsed="false">
      <c r="A377" s="19" t="str">
        <f aca="false">'Client-Product Master'!B55</f>
        <v>(Client name not provided in source - confirm)</v>
      </c>
      <c r="B377" s="19" t="str">
        <f aca="false">'Client-Product Master'!C55</f>
        <v>8 no load cell</v>
      </c>
      <c r="C377" s="20" t="n">
        <f aca="false">'Client-Product Master'!E55</f>
        <v>660000</v>
      </c>
      <c r="D377" s="8" t="n">
        <v>5</v>
      </c>
      <c r="E377" s="21" t="n">
        <f aca="false">INDEX('AMC &amp; Spares % Assumptions'!$B$5:$B$11, D377)</f>
        <v>0.06</v>
      </c>
      <c r="F377" s="22" t="n">
        <f aca="false">C377*E377</f>
        <v>39600</v>
      </c>
      <c r="G377" s="21" t="n">
        <f aca="false">INDEX('AMC &amp; Spares % Assumptions'!$C$5:$C$11, D377)</f>
        <v>0.075</v>
      </c>
      <c r="H377" s="22" t="n">
        <f aca="false">C377*G377</f>
        <v>49500</v>
      </c>
      <c r="I377" s="23" t="n">
        <f aca="false">F377+H377</f>
        <v>89100</v>
      </c>
    </row>
    <row r="378" customFormat="false" ht="15" hidden="false" customHeight="false" outlineLevel="0" collapsed="false">
      <c r="A378" s="19" t="str">
        <f aca="false">'Client-Product Master'!B55</f>
        <v>(Client name not provided in source - confirm)</v>
      </c>
      <c r="B378" s="19" t="str">
        <f aca="false">'Client-Product Master'!C55</f>
        <v>8 no load cell</v>
      </c>
      <c r="C378" s="20" t="n">
        <f aca="false">'Client-Product Master'!E55</f>
        <v>660000</v>
      </c>
      <c r="D378" s="8" t="n">
        <v>6</v>
      </c>
      <c r="E378" s="21" t="n">
        <f aca="false">INDEX('AMC &amp; Spares % Assumptions'!$B$5:$B$11, D378)</f>
        <v>0.065</v>
      </c>
      <c r="F378" s="22" t="n">
        <f aca="false">C378*E378</f>
        <v>42900</v>
      </c>
      <c r="G378" s="21" t="n">
        <f aca="false">INDEX('AMC &amp; Spares % Assumptions'!$C$5:$C$11, D378)</f>
        <v>0.085</v>
      </c>
      <c r="H378" s="22" t="n">
        <f aca="false">C378*G378</f>
        <v>56100</v>
      </c>
      <c r="I378" s="23" t="n">
        <f aca="false">F378+H378</f>
        <v>99000</v>
      </c>
    </row>
    <row r="379" customFormat="false" ht="15" hidden="false" customHeight="false" outlineLevel="0" collapsed="false">
      <c r="A379" s="19" t="str">
        <f aca="false">'Client-Product Master'!B55</f>
        <v>(Client name not provided in source - confirm)</v>
      </c>
      <c r="B379" s="19" t="str">
        <f aca="false">'Client-Product Master'!C55</f>
        <v>8 no load cell</v>
      </c>
      <c r="C379" s="20" t="n">
        <f aca="false">'Client-Product Master'!E55</f>
        <v>660000</v>
      </c>
      <c r="D379" s="8" t="n">
        <v>7</v>
      </c>
      <c r="E379" s="21" t="n">
        <f aca="false">INDEX('AMC &amp; Spares % Assumptions'!$B$5:$B$11, D379)</f>
        <v>0.07</v>
      </c>
      <c r="F379" s="22" t="n">
        <f aca="false">C379*E379</f>
        <v>46200</v>
      </c>
      <c r="G379" s="21" t="n">
        <f aca="false">INDEX('AMC &amp; Spares % Assumptions'!$C$5:$C$11, D379)</f>
        <v>0.095</v>
      </c>
      <c r="H379" s="22" t="n">
        <f aca="false">C379*G379</f>
        <v>62700</v>
      </c>
      <c r="I379" s="23" t="n">
        <f aca="false">F379+H379</f>
        <v>108900</v>
      </c>
    </row>
  </sheetData>
  <autoFilter ref="A1:I3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22"/>
    <col collapsed="false" customWidth="true" hidden="false" outlineLevel="0" max="6" min="6" style="0" width="24"/>
  </cols>
  <sheetData>
    <row r="1" customFormat="false" ht="23.85" hidden="false" customHeight="false" outlineLevel="0" collapsed="false">
      <c r="A1" s="7" t="s">
        <v>56</v>
      </c>
      <c r="B1" s="7" t="s">
        <v>160</v>
      </c>
      <c r="C1" s="7" t="s">
        <v>161</v>
      </c>
      <c r="D1" s="7" t="s">
        <v>162</v>
      </c>
      <c r="E1" s="7" t="s">
        <v>163</v>
      </c>
      <c r="F1" s="7" t="s">
        <v>164</v>
      </c>
    </row>
    <row r="2" customFormat="false" ht="15" hidden="false" customHeight="false" outlineLevel="0" collapsed="false">
      <c r="A2" s="24" t="s">
        <v>134</v>
      </c>
      <c r="B2" s="8" t="n">
        <f aca="false">COUNTIF('Client-Product Master'!$B$2:$B$55, A2)</f>
        <v>1</v>
      </c>
      <c r="C2" s="22" t="n">
        <f aca="false">SUMIF('Client-Product Master'!$B$2:$B$55, A2, 'Client-Product Master'!$E$2:$E$55)</f>
        <v>930000</v>
      </c>
      <c r="D2" s="22" t="n">
        <f aca="false">SUMIF('Opportunity Model (Year-wise)'!$A$2:$A$379, A2, 'Opportunity Model (Year-wise)'!$F$2:$F$379)</f>
        <v>316200</v>
      </c>
      <c r="E2" s="22" t="n">
        <f aca="false">SUMIF('Opportunity Model (Year-wise)'!$A$2:$A$379, A2, 'Opportunity Model (Year-wise)'!$H$2:$H$379)</f>
        <v>367350</v>
      </c>
      <c r="F2" s="23" t="n">
        <f aca="false">D2+E2</f>
        <v>683550</v>
      </c>
    </row>
    <row r="3" customFormat="false" ht="15" hidden="false" customHeight="false" outlineLevel="0" collapsed="false">
      <c r="A3" s="24" t="s">
        <v>97</v>
      </c>
      <c r="B3" s="8" t="n">
        <f aca="false">COUNTIF('Client-Product Master'!$B$2:$B$55, A3)</f>
        <v>2</v>
      </c>
      <c r="C3" s="22" t="n">
        <f aca="false">SUMIF('Client-Product Master'!$B$2:$B$55, A3, 'Client-Product Master'!$E$2:$E$55)</f>
        <v>870000</v>
      </c>
      <c r="D3" s="22" t="n">
        <f aca="false">SUMIF('Opportunity Model (Year-wise)'!$A$2:$A$379, A3, 'Opportunity Model (Year-wise)'!$F$2:$F$379)</f>
        <v>295800</v>
      </c>
      <c r="E3" s="22" t="n">
        <f aca="false">SUMIF('Opportunity Model (Year-wise)'!$A$2:$A$379, A3, 'Opportunity Model (Year-wise)'!$H$2:$H$379)</f>
        <v>343650</v>
      </c>
      <c r="F3" s="23" t="n">
        <f aca="false">D3+E3</f>
        <v>639450</v>
      </c>
    </row>
    <row r="4" customFormat="false" ht="15" hidden="false" customHeight="false" outlineLevel="0" collapsed="false">
      <c r="A4" s="24" t="s">
        <v>146</v>
      </c>
      <c r="B4" s="8" t="n">
        <f aca="false">COUNTIF('Client-Product Master'!$B$2:$B$55, A4)</f>
        <v>1</v>
      </c>
      <c r="C4" s="22" t="n">
        <f aca="false">SUMIF('Client-Product Master'!$B$2:$B$55, A4, 'Client-Product Master'!$E$2:$E$55)</f>
        <v>860000</v>
      </c>
      <c r="D4" s="22" t="n">
        <f aca="false">SUMIF('Opportunity Model (Year-wise)'!$A$2:$A$379, A4, 'Opportunity Model (Year-wise)'!$F$2:$F$379)</f>
        <v>292400</v>
      </c>
      <c r="E4" s="22" t="n">
        <f aca="false">SUMIF('Opportunity Model (Year-wise)'!$A$2:$A$379, A4, 'Opportunity Model (Year-wise)'!$H$2:$H$379)</f>
        <v>339700</v>
      </c>
      <c r="F4" s="23" t="n">
        <f aca="false">D4+E4</f>
        <v>632100</v>
      </c>
    </row>
    <row r="5" customFormat="false" ht="15" hidden="false" customHeight="false" outlineLevel="0" collapsed="false">
      <c r="A5" s="24" t="s">
        <v>144</v>
      </c>
      <c r="B5" s="8" t="n">
        <f aca="false">COUNTIF('Client-Product Master'!$B$2:$B$55, A5)</f>
        <v>1</v>
      </c>
      <c r="C5" s="22" t="n">
        <f aca="false">SUMIF('Client-Product Master'!$B$2:$B$55, A5, 'Client-Product Master'!$E$2:$E$55)</f>
        <v>675000</v>
      </c>
      <c r="D5" s="22" t="n">
        <f aca="false">SUMIF('Opportunity Model (Year-wise)'!$A$2:$A$379, A5, 'Opportunity Model (Year-wise)'!$F$2:$F$379)</f>
        <v>229500</v>
      </c>
      <c r="E5" s="22" t="n">
        <f aca="false">SUMIF('Opportunity Model (Year-wise)'!$A$2:$A$379, A5, 'Opportunity Model (Year-wise)'!$H$2:$H$379)</f>
        <v>266625</v>
      </c>
      <c r="F5" s="23" t="n">
        <f aca="false">D5+E5</f>
        <v>496125</v>
      </c>
    </row>
    <row r="6" customFormat="false" ht="15" hidden="false" customHeight="false" outlineLevel="0" collapsed="false">
      <c r="A6" s="25" t="s">
        <v>153</v>
      </c>
      <c r="B6" s="8" t="n">
        <f aca="false">COUNTIF('Client-Product Master'!$B$2:$B$55, A6)</f>
        <v>1</v>
      </c>
      <c r="C6" s="22" t="n">
        <f aca="false">SUMIF('Client-Product Master'!$B$2:$B$55, A6, 'Client-Product Master'!$E$2:$E$55)</f>
        <v>660000</v>
      </c>
      <c r="D6" s="22" t="n">
        <f aca="false">SUMIF('Opportunity Model (Year-wise)'!$A$2:$A$379, A6, 'Opportunity Model (Year-wise)'!$F$2:$F$379)</f>
        <v>224400</v>
      </c>
      <c r="E6" s="22" t="n">
        <f aca="false">SUMIF('Opportunity Model (Year-wise)'!$A$2:$A$379, A6, 'Opportunity Model (Year-wise)'!$H$2:$H$379)</f>
        <v>260700</v>
      </c>
      <c r="F6" s="23" t="n">
        <f aca="false">D6+E6</f>
        <v>485100</v>
      </c>
    </row>
    <row r="7" customFormat="false" ht="15" hidden="false" customHeight="false" outlineLevel="0" collapsed="false">
      <c r="A7" s="24" t="s">
        <v>126</v>
      </c>
      <c r="B7" s="8" t="n">
        <f aca="false">COUNTIF('Client-Product Master'!$B$2:$B$55, A7)</f>
        <v>1</v>
      </c>
      <c r="C7" s="22" t="n">
        <f aca="false">SUMIF('Client-Product Master'!$B$2:$B$55, A7, 'Client-Product Master'!$E$2:$E$55)</f>
        <v>550000</v>
      </c>
      <c r="D7" s="22" t="n">
        <f aca="false">SUMIF('Opportunity Model (Year-wise)'!$A$2:$A$379, A7, 'Opportunity Model (Year-wise)'!$F$2:$F$379)</f>
        <v>187000</v>
      </c>
      <c r="E7" s="22" t="n">
        <f aca="false">SUMIF('Opportunity Model (Year-wise)'!$A$2:$A$379, A7, 'Opportunity Model (Year-wise)'!$H$2:$H$379)</f>
        <v>217250</v>
      </c>
      <c r="F7" s="23" t="n">
        <f aca="false">D7+E7</f>
        <v>404250</v>
      </c>
    </row>
    <row r="8" customFormat="false" ht="15" hidden="false" customHeight="false" outlineLevel="0" collapsed="false">
      <c r="A8" s="24" t="s">
        <v>142</v>
      </c>
      <c r="B8" s="8" t="n">
        <f aca="false">COUNTIF('Client-Product Master'!$B$2:$B$55, A8)</f>
        <v>1</v>
      </c>
      <c r="C8" s="22" t="n">
        <f aca="false">SUMIF('Client-Product Master'!$B$2:$B$55, A8, 'Client-Product Master'!$E$2:$E$55)</f>
        <v>400000</v>
      </c>
      <c r="D8" s="22" t="n">
        <f aca="false">SUMIF('Opportunity Model (Year-wise)'!$A$2:$A$379, A8, 'Opportunity Model (Year-wise)'!$F$2:$F$379)</f>
        <v>136000</v>
      </c>
      <c r="E8" s="22" t="n">
        <f aca="false">SUMIF('Opportunity Model (Year-wise)'!$A$2:$A$379, A8, 'Opportunity Model (Year-wise)'!$H$2:$H$379)</f>
        <v>158000</v>
      </c>
      <c r="F8" s="23" t="n">
        <f aca="false">D8+E8</f>
        <v>294000</v>
      </c>
    </row>
    <row r="9" customFormat="false" ht="15" hidden="false" customHeight="false" outlineLevel="0" collapsed="false">
      <c r="A9" s="24" t="s">
        <v>136</v>
      </c>
      <c r="B9" s="8" t="n">
        <f aca="false">COUNTIF('Client-Product Master'!$B$2:$B$55, A9)</f>
        <v>1</v>
      </c>
      <c r="C9" s="22" t="n">
        <f aca="false">SUMIF('Client-Product Master'!$B$2:$B$55, A9, 'Client-Product Master'!$E$2:$E$55)</f>
        <v>333250</v>
      </c>
      <c r="D9" s="22" t="n">
        <f aca="false">SUMIF('Opportunity Model (Year-wise)'!$A$2:$A$379, A9, 'Opportunity Model (Year-wise)'!$F$2:$F$379)</f>
        <v>113305</v>
      </c>
      <c r="E9" s="22" t="n">
        <f aca="false">SUMIF('Opportunity Model (Year-wise)'!$A$2:$A$379, A9, 'Opportunity Model (Year-wise)'!$H$2:$H$379)</f>
        <v>131633.75</v>
      </c>
      <c r="F9" s="23" t="n">
        <f aca="false">D9+E9</f>
        <v>244938.75</v>
      </c>
    </row>
    <row r="10" customFormat="false" ht="15" hidden="false" customHeight="false" outlineLevel="0" collapsed="false">
      <c r="A10" s="24" t="s">
        <v>129</v>
      </c>
      <c r="B10" s="8" t="n">
        <f aca="false">COUNTIF('Client-Product Master'!$B$2:$B$55, A10)</f>
        <v>1</v>
      </c>
      <c r="C10" s="22" t="n">
        <f aca="false">SUMIF('Client-Product Master'!$B$2:$B$55, A10, 'Client-Product Master'!$E$2:$E$55)</f>
        <v>295000</v>
      </c>
      <c r="D10" s="22" t="n">
        <f aca="false">SUMIF('Opportunity Model (Year-wise)'!$A$2:$A$379, A10, 'Opportunity Model (Year-wise)'!$F$2:$F$379)</f>
        <v>100300</v>
      </c>
      <c r="E10" s="22" t="n">
        <f aca="false">SUMIF('Opportunity Model (Year-wise)'!$A$2:$A$379, A10, 'Opportunity Model (Year-wise)'!$H$2:$H$379)</f>
        <v>116525</v>
      </c>
      <c r="F10" s="23" t="n">
        <f aca="false">D10+E10</f>
        <v>216825</v>
      </c>
    </row>
    <row r="11" customFormat="false" ht="15" hidden="false" customHeight="false" outlineLevel="0" collapsed="false">
      <c r="A11" s="24" t="s">
        <v>151</v>
      </c>
      <c r="B11" s="8" t="n">
        <f aca="false">COUNTIF('Client-Product Master'!$B$2:$B$55, A11)</f>
        <v>1</v>
      </c>
      <c r="C11" s="22" t="n">
        <f aca="false">SUMIF('Client-Product Master'!$B$2:$B$55, A11, 'Client-Product Master'!$E$2:$E$55)</f>
        <v>165000</v>
      </c>
      <c r="D11" s="22" t="n">
        <f aca="false">SUMIF('Opportunity Model (Year-wise)'!$A$2:$A$379, A11, 'Opportunity Model (Year-wise)'!$F$2:$F$379)</f>
        <v>56100</v>
      </c>
      <c r="E11" s="22" t="n">
        <f aca="false">SUMIF('Opportunity Model (Year-wise)'!$A$2:$A$379, A11, 'Opportunity Model (Year-wise)'!$H$2:$H$379)</f>
        <v>65175</v>
      </c>
      <c r="F11" s="23" t="n">
        <f aca="false">D11+E11</f>
        <v>121275</v>
      </c>
    </row>
    <row r="12" customFormat="false" ht="15" hidden="false" customHeight="false" outlineLevel="0" collapsed="false">
      <c r="A12" s="24" t="s">
        <v>131</v>
      </c>
      <c r="B12" s="8" t="n">
        <f aca="false">COUNTIF('Client-Product Master'!$B$2:$B$55, A12)</f>
        <v>1</v>
      </c>
      <c r="C12" s="22" t="n">
        <f aca="false">SUMIF('Client-Product Master'!$B$2:$B$55, A12, 'Client-Product Master'!$E$2:$E$55)</f>
        <v>113000</v>
      </c>
      <c r="D12" s="22" t="n">
        <f aca="false">SUMIF('Opportunity Model (Year-wise)'!$A$2:$A$379, A12, 'Opportunity Model (Year-wise)'!$F$2:$F$379)</f>
        <v>38420</v>
      </c>
      <c r="E12" s="22" t="n">
        <f aca="false">SUMIF('Opportunity Model (Year-wise)'!$A$2:$A$379, A12, 'Opportunity Model (Year-wise)'!$H$2:$H$379)</f>
        <v>44635</v>
      </c>
      <c r="F12" s="23" t="n">
        <f aca="false">D12+E12</f>
        <v>83055</v>
      </c>
    </row>
    <row r="13" customFormat="false" ht="15" hidden="false" customHeight="false" outlineLevel="0" collapsed="false">
      <c r="A13" s="24" t="s">
        <v>120</v>
      </c>
      <c r="B13" s="8" t="n">
        <f aca="false">COUNTIF('Client-Product Master'!$B$2:$B$55, A13)</f>
        <v>4</v>
      </c>
      <c r="C13" s="22" t="n">
        <f aca="false">SUMIF('Client-Product Master'!$B$2:$B$55, A13, 'Client-Product Master'!$E$2:$E$55)</f>
        <v>90000</v>
      </c>
      <c r="D13" s="22" t="n">
        <f aca="false">SUMIF('Opportunity Model (Year-wise)'!$A$2:$A$379, A13, 'Opportunity Model (Year-wise)'!$F$2:$F$379)</f>
        <v>30600</v>
      </c>
      <c r="E13" s="22" t="n">
        <f aca="false">SUMIF('Opportunity Model (Year-wise)'!$A$2:$A$379, A13, 'Opportunity Model (Year-wise)'!$H$2:$H$379)</f>
        <v>35550</v>
      </c>
      <c r="F13" s="23" t="n">
        <f aca="false">D13+E13</f>
        <v>66150</v>
      </c>
    </row>
    <row r="14" customFormat="false" ht="15" hidden="false" customHeight="false" outlineLevel="0" collapsed="false">
      <c r="A14" s="24" t="s">
        <v>90</v>
      </c>
      <c r="B14" s="8" t="n">
        <f aca="false">COUNTIF('Client-Product Master'!$B$2:$B$55, A14)</f>
        <v>3</v>
      </c>
      <c r="C14" s="22" t="n">
        <f aca="false">SUMIF('Client-Product Master'!$B$2:$B$55, A14, 'Client-Product Master'!$E$2:$E$55)</f>
        <v>22000</v>
      </c>
      <c r="D14" s="22" t="n">
        <f aca="false">SUMIF('Opportunity Model (Year-wise)'!$A$2:$A$379, A14, 'Opportunity Model (Year-wise)'!$F$2:$F$379)</f>
        <v>7480</v>
      </c>
      <c r="E14" s="22" t="n">
        <f aca="false">SUMIF('Opportunity Model (Year-wise)'!$A$2:$A$379, A14, 'Opportunity Model (Year-wise)'!$H$2:$H$379)</f>
        <v>8690</v>
      </c>
      <c r="F14" s="23" t="n">
        <f aca="false">D14+E14</f>
        <v>16170</v>
      </c>
    </row>
    <row r="15" customFormat="false" ht="15" hidden="false" customHeight="false" outlineLevel="0" collapsed="false">
      <c r="A15" s="24" t="s">
        <v>83</v>
      </c>
      <c r="B15" s="8" t="n">
        <f aca="false">COUNTIF('Client-Product Master'!$B$2:$B$55, A15)</f>
        <v>1</v>
      </c>
      <c r="C15" s="22" t="n">
        <f aca="false">SUMIF('Client-Product Master'!$B$2:$B$55, A15, 'Client-Product Master'!$E$2:$E$55)</f>
        <v>0</v>
      </c>
      <c r="D15" s="22" t="n">
        <f aca="false">SUMIF('Opportunity Model (Year-wise)'!$A$2:$A$379, A15, 'Opportunity Model (Year-wise)'!$F$2:$F$379)</f>
        <v>0</v>
      </c>
      <c r="E15" s="22" t="n">
        <f aca="false">SUMIF('Opportunity Model (Year-wise)'!$A$2:$A$379, A15, 'Opportunity Model (Year-wise)'!$H$2:$H$379)</f>
        <v>0</v>
      </c>
      <c r="F15" s="23" t="n">
        <f aca="false">D15+E15</f>
        <v>0</v>
      </c>
    </row>
    <row r="16" customFormat="false" ht="15" hidden="false" customHeight="false" outlineLevel="0" collapsed="false">
      <c r="A16" s="24" t="s">
        <v>107</v>
      </c>
      <c r="B16" s="8" t="n">
        <f aca="false">COUNTIF('Client-Product Master'!$B$2:$B$55, A16)</f>
        <v>1</v>
      </c>
      <c r="C16" s="22" t="n">
        <f aca="false">SUMIF('Client-Product Master'!$B$2:$B$55, A16, 'Client-Product Master'!$E$2:$E$55)</f>
        <v>0</v>
      </c>
      <c r="D16" s="22" t="n">
        <f aca="false">SUMIF('Opportunity Model (Year-wise)'!$A$2:$A$379, A16, 'Opportunity Model (Year-wise)'!$F$2:$F$379)</f>
        <v>0</v>
      </c>
      <c r="E16" s="22" t="n">
        <f aca="false">SUMIF('Opportunity Model (Year-wise)'!$A$2:$A$379, A16, 'Opportunity Model (Year-wise)'!$H$2:$H$379)</f>
        <v>0</v>
      </c>
      <c r="F16" s="23" t="n">
        <f aca="false">D16+E16</f>
        <v>0</v>
      </c>
    </row>
    <row r="17" customFormat="false" ht="15" hidden="false" customHeight="false" outlineLevel="0" collapsed="false">
      <c r="A17" s="24" t="s">
        <v>116</v>
      </c>
      <c r="B17" s="8" t="n">
        <f aca="false">COUNTIF('Client-Product Master'!$B$2:$B$55, A17)</f>
        <v>1</v>
      </c>
      <c r="C17" s="22" t="n">
        <f aca="false">SUMIF('Client-Product Master'!$B$2:$B$55, A17, 'Client-Product Master'!$E$2:$E$55)</f>
        <v>0</v>
      </c>
      <c r="D17" s="22" t="n">
        <f aca="false">SUMIF('Opportunity Model (Year-wise)'!$A$2:$A$379, A17, 'Opportunity Model (Year-wise)'!$F$2:$F$379)</f>
        <v>0</v>
      </c>
      <c r="E17" s="22" t="n">
        <f aca="false">SUMIF('Opportunity Model (Year-wise)'!$A$2:$A$379, A17, 'Opportunity Model (Year-wise)'!$H$2:$H$379)</f>
        <v>0</v>
      </c>
      <c r="F17" s="23" t="n">
        <f aca="false">D17+E17</f>
        <v>0</v>
      </c>
    </row>
    <row r="18" customFormat="false" ht="15" hidden="false" customHeight="false" outlineLevel="0" collapsed="false">
      <c r="A18" s="24" t="s">
        <v>105</v>
      </c>
      <c r="B18" s="8" t="n">
        <f aca="false">COUNTIF('Client-Product Master'!$B$2:$B$55, A18)</f>
        <v>1</v>
      </c>
      <c r="C18" s="22" t="n">
        <f aca="false">SUMIF('Client-Product Master'!$B$2:$B$55, A18, 'Client-Product Master'!$E$2:$E$55)</f>
        <v>0</v>
      </c>
      <c r="D18" s="22" t="n">
        <f aca="false">SUMIF('Opportunity Model (Year-wise)'!$A$2:$A$379, A18, 'Opportunity Model (Year-wise)'!$F$2:$F$379)</f>
        <v>0</v>
      </c>
      <c r="E18" s="22" t="n">
        <f aca="false">SUMIF('Opportunity Model (Year-wise)'!$A$2:$A$379, A18, 'Opportunity Model (Year-wise)'!$H$2:$H$379)</f>
        <v>0</v>
      </c>
      <c r="F18" s="23" t="n">
        <f aca="false">D18+E18</f>
        <v>0</v>
      </c>
    </row>
    <row r="19" customFormat="false" ht="15" hidden="false" customHeight="false" outlineLevel="0" collapsed="false">
      <c r="A19" s="24" t="s">
        <v>138</v>
      </c>
      <c r="B19" s="8" t="n">
        <f aca="false">COUNTIF('Client-Product Master'!$B$2:$B$55, A19)</f>
        <v>1</v>
      </c>
      <c r="C19" s="22" t="n">
        <f aca="false">SUMIF('Client-Product Master'!$B$2:$B$55, A19, 'Client-Product Master'!$E$2:$E$55)</f>
        <v>0</v>
      </c>
      <c r="D19" s="22" t="n">
        <f aca="false">SUMIF('Opportunity Model (Year-wise)'!$A$2:$A$379, A19, 'Opportunity Model (Year-wise)'!$F$2:$F$379)</f>
        <v>0</v>
      </c>
      <c r="E19" s="22" t="n">
        <f aca="false">SUMIF('Opportunity Model (Year-wise)'!$A$2:$A$379, A19, 'Opportunity Model (Year-wise)'!$H$2:$H$379)</f>
        <v>0</v>
      </c>
      <c r="F19" s="23" t="n">
        <f aca="false">D19+E19</f>
        <v>0</v>
      </c>
    </row>
    <row r="20" customFormat="false" ht="15" hidden="false" customHeight="false" outlineLevel="0" collapsed="false">
      <c r="A20" s="24" t="s">
        <v>118</v>
      </c>
      <c r="B20" s="8" t="n">
        <f aca="false">COUNTIF('Client-Product Master'!$B$2:$B$55, A20)</f>
        <v>1</v>
      </c>
      <c r="C20" s="22" t="n">
        <f aca="false">SUMIF('Client-Product Master'!$B$2:$B$55, A20, 'Client-Product Master'!$E$2:$E$55)</f>
        <v>0</v>
      </c>
      <c r="D20" s="22" t="n">
        <f aca="false">SUMIF('Opportunity Model (Year-wise)'!$A$2:$A$379, A20, 'Opportunity Model (Year-wise)'!$F$2:$F$379)</f>
        <v>0</v>
      </c>
      <c r="E20" s="22" t="n">
        <f aca="false">SUMIF('Opportunity Model (Year-wise)'!$A$2:$A$379, A20, 'Opportunity Model (Year-wise)'!$H$2:$H$379)</f>
        <v>0</v>
      </c>
      <c r="F20" s="23" t="n">
        <f aca="false">D20+E20</f>
        <v>0</v>
      </c>
    </row>
    <row r="21" customFormat="false" ht="15" hidden="false" customHeight="false" outlineLevel="0" collapsed="false">
      <c r="A21" s="24" t="s">
        <v>124</v>
      </c>
      <c r="B21" s="8" t="n">
        <f aca="false">COUNTIF('Client-Product Master'!$B$2:$B$55, A21)</f>
        <v>1</v>
      </c>
      <c r="C21" s="22" t="n">
        <f aca="false">SUMIF('Client-Product Master'!$B$2:$B$55, A21, 'Client-Product Master'!$E$2:$E$55)</f>
        <v>0</v>
      </c>
      <c r="D21" s="22" t="n">
        <f aca="false">SUMIF('Opportunity Model (Year-wise)'!$A$2:$A$379, A21, 'Opportunity Model (Year-wise)'!$F$2:$F$379)</f>
        <v>0</v>
      </c>
      <c r="E21" s="22" t="n">
        <f aca="false">SUMIF('Opportunity Model (Year-wise)'!$A$2:$A$379, A21, 'Opportunity Model (Year-wise)'!$H$2:$H$379)</f>
        <v>0</v>
      </c>
      <c r="F21" s="23" t="n">
        <f aca="false">D21+E21</f>
        <v>0</v>
      </c>
    </row>
    <row r="22" customFormat="false" ht="15" hidden="false" customHeight="false" outlineLevel="0" collapsed="false">
      <c r="A22" s="24" t="s">
        <v>79</v>
      </c>
      <c r="B22" s="8" t="n">
        <f aca="false">COUNTIF('Client-Product Master'!$B$2:$B$55, A22)</f>
        <v>1</v>
      </c>
      <c r="C22" s="22" t="n">
        <f aca="false">SUMIF('Client-Product Master'!$B$2:$B$55, A22, 'Client-Product Master'!$E$2:$E$55)</f>
        <v>0</v>
      </c>
      <c r="D22" s="22" t="n">
        <f aca="false">SUMIF('Opportunity Model (Year-wise)'!$A$2:$A$379, A22, 'Opportunity Model (Year-wise)'!$F$2:$F$379)</f>
        <v>0</v>
      </c>
      <c r="E22" s="22" t="n">
        <f aca="false">SUMIF('Opportunity Model (Year-wise)'!$A$2:$A$379, A22, 'Opportunity Model (Year-wise)'!$H$2:$H$379)</f>
        <v>0</v>
      </c>
      <c r="F22" s="23" t="n">
        <f aca="false">D22+E22</f>
        <v>0</v>
      </c>
    </row>
    <row r="23" customFormat="false" ht="15" hidden="false" customHeight="false" outlineLevel="0" collapsed="false">
      <c r="A23" s="24" t="s">
        <v>73</v>
      </c>
      <c r="B23" s="8" t="n">
        <f aca="false">COUNTIF('Client-Product Master'!$B$2:$B$55, A23)</f>
        <v>1</v>
      </c>
      <c r="C23" s="22" t="n">
        <f aca="false">SUMIF('Client-Product Master'!$B$2:$B$55, A23, 'Client-Product Master'!$E$2:$E$55)</f>
        <v>0</v>
      </c>
      <c r="D23" s="22" t="n">
        <f aca="false">SUMIF('Opportunity Model (Year-wise)'!$A$2:$A$379, A23, 'Opportunity Model (Year-wise)'!$F$2:$F$379)</f>
        <v>0</v>
      </c>
      <c r="E23" s="22" t="n">
        <f aca="false">SUMIF('Opportunity Model (Year-wise)'!$A$2:$A$379, A23, 'Opportunity Model (Year-wise)'!$H$2:$H$379)</f>
        <v>0</v>
      </c>
      <c r="F23" s="23" t="n">
        <f aca="false">D23+E23</f>
        <v>0</v>
      </c>
    </row>
    <row r="24" customFormat="false" ht="15" hidden="false" customHeight="false" outlineLevel="0" collapsed="false">
      <c r="A24" s="24" t="s">
        <v>65</v>
      </c>
      <c r="B24" s="8" t="n">
        <f aca="false">COUNTIF('Client-Product Master'!$B$2:$B$55, A24)</f>
        <v>1</v>
      </c>
      <c r="C24" s="22" t="n">
        <f aca="false">SUMIF('Client-Product Master'!$B$2:$B$55, A24, 'Client-Product Master'!$E$2:$E$55)</f>
        <v>0</v>
      </c>
      <c r="D24" s="22" t="n">
        <f aca="false">SUMIF('Opportunity Model (Year-wise)'!$A$2:$A$379, A24, 'Opportunity Model (Year-wise)'!$F$2:$F$379)</f>
        <v>0</v>
      </c>
      <c r="E24" s="22" t="n">
        <f aca="false">SUMIF('Opportunity Model (Year-wise)'!$A$2:$A$379, A24, 'Opportunity Model (Year-wise)'!$H$2:$H$379)</f>
        <v>0</v>
      </c>
      <c r="F24" s="23" t="n">
        <f aca="false">D24+E24</f>
        <v>0</v>
      </c>
    </row>
    <row r="25" customFormat="false" ht="15" hidden="false" customHeight="false" outlineLevel="0" collapsed="false">
      <c r="A25" s="24" t="s">
        <v>100</v>
      </c>
      <c r="B25" s="8" t="n">
        <f aca="false">COUNTIF('Client-Product Master'!$B$2:$B$55, A25)</f>
        <v>1</v>
      </c>
      <c r="C25" s="22" t="n">
        <f aca="false">SUMIF('Client-Product Master'!$B$2:$B$55, A25, 'Client-Product Master'!$E$2:$E$55)</f>
        <v>0</v>
      </c>
      <c r="D25" s="22" t="n">
        <f aca="false">SUMIF('Opportunity Model (Year-wise)'!$A$2:$A$379, A25, 'Opportunity Model (Year-wise)'!$F$2:$F$379)</f>
        <v>0</v>
      </c>
      <c r="E25" s="22" t="n">
        <f aca="false">SUMIF('Opportunity Model (Year-wise)'!$A$2:$A$379, A25, 'Opportunity Model (Year-wise)'!$H$2:$H$379)</f>
        <v>0</v>
      </c>
      <c r="F25" s="23" t="n">
        <f aca="false">D25+E25</f>
        <v>0</v>
      </c>
    </row>
    <row r="26" customFormat="false" ht="15" hidden="false" customHeight="false" outlineLevel="0" collapsed="false">
      <c r="A26" s="24" t="s">
        <v>76</v>
      </c>
      <c r="B26" s="8" t="n">
        <f aca="false">COUNTIF('Client-Product Master'!$B$2:$B$55, A26)</f>
        <v>2</v>
      </c>
      <c r="C26" s="22" t="n">
        <f aca="false">SUMIF('Client-Product Master'!$B$2:$B$55, A26, 'Client-Product Master'!$E$2:$E$55)</f>
        <v>0</v>
      </c>
      <c r="D26" s="22" t="n">
        <f aca="false">SUMIF('Opportunity Model (Year-wise)'!$A$2:$A$379, A26, 'Opportunity Model (Year-wise)'!$F$2:$F$379)</f>
        <v>0</v>
      </c>
      <c r="E26" s="22" t="n">
        <f aca="false">SUMIF('Opportunity Model (Year-wise)'!$A$2:$A$379, A26, 'Opportunity Model (Year-wise)'!$H$2:$H$379)</f>
        <v>0</v>
      </c>
      <c r="F26" s="23" t="n">
        <f aca="false">D26+E26</f>
        <v>0</v>
      </c>
    </row>
    <row r="27" customFormat="false" ht="15" hidden="false" customHeight="false" outlineLevel="0" collapsed="false">
      <c r="A27" s="24" t="s">
        <v>85</v>
      </c>
      <c r="B27" s="8" t="n">
        <f aca="false">COUNTIF('Client-Product Master'!$B$2:$B$55, A27)</f>
        <v>2</v>
      </c>
      <c r="C27" s="22" t="n">
        <f aca="false">SUMIF('Client-Product Master'!$B$2:$B$55, A27, 'Client-Product Master'!$E$2:$E$55)</f>
        <v>0</v>
      </c>
      <c r="D27" s="22" t="n">
        <f aca="false">SUMIF('Opportunity Model (Year-wise)'!$A$2:$A$379, A27, 'Opportunity Model (Year-wise)'!$F$2:$F$379)</f>
        <v>0</v>
      </c>
      <c r="E27" s="22" t="n">
        <f aca="false">SUMIF('Opportunity Model (Year-wise)'!$A$2:$A$379, A27, 'Opportunity Model (Year-wise)'!$H$2:$H$379)</f>
        <v>0</v>
      </c>
      <c r="F27" s="23" t="n">
        <f aca="false">D27+E27</f>
        <v>0</v>
      </c>
    </row>
    <row r="28" customFormat="false" ht="15" hidden="false" customHeight="false" outlineLevel="0" collapsed="false">
      <c r="A28" s="24" t="s">
        <v>110</v>
      </c>
      <c r="B28" s="8" t="n">
        <f aca="false">COUNTIF('Client-Product Master'!$B$2:$B$55, A28)</f>
        <v>1</v>
      </c>
      <c r="C28" s="22" t="n">
        <f aca="false">SUMIF('Client-Product Master'!$B$2:$B$55, A28, 'Client-Product Master'!$E$2:$E$55)</f>
        <v>0</v>
      </c>
      <c r="D28" s="22" t="n">
        <f aca="false">SUMIF('Opportunity Model (Year-wise)'!$A$2:$A$379, A28, 'Opportunity Model (Year-wise)'!$F$2:$F$379)</f>
        <v>0</v>
      </c>
      <c r="E28" s="22" t="n">
        <f aca="false">SUMIF('Opportunity Model (Year-wise)'!$A$2:$A$379, A28, 'Opportunity Model (Year-wise)'!$H$2:$H$379)</f>
        <v>0</v>
      </c>
      <c r="F28" s="23" t="n">
        <f aca="false">D28+E28</f>
        <v>0</v>
      </c>
    </row>
    <row r="29" customFormat="false" ht="15" hidden="false" customHeight="false" outlineLevel="0" collapsed="false">
      <c r="A29" s="24" t="s">
        <v>109</v>
      </c>
      <c r="B29" s="8" t="n">
        <f aca="false">COUNTIF('Client-Product Master'!$B$2:$B$55, A29)</f>
        <v>1</v>
      </c>
      <c r="C29" s="22" t="n">
        <f aca="false">SUMIF('Client-Product Master'!$B$2:$B$55, A29, 'Client-Product Master'!$E$2:$E$55)</f>
        <v>0</v>
      </c>
      <c r="D29" s="22" t="n">
        <f aca="false">SUMIF('Opportunity Model (Year-wise)'!$A$2:$A$379, A29, 'Opportunity Model (Year-wise)'!$F$2:$F$379)</f>
        <v>0</v>
      </c>
      <c r="E29" s="22" t="n">
        <f aca="false">SUMIF('Opportunity Model (Year-wise)'!$A$2:$A$379, A29, 'Opportunity Model (Year-wise)'!$H$2:$H$379)</f>
        <v>0</v>
      </c>
      <c r="F29" s="23" t="n">
        <f aca="false">D29+E29</f>
        <v>0</v>
      </c>
    </row>
    <row r="30" customFormat="false" ht="15" hidden="false" customHeight="false" outlineLevel="0" collapsed="false">
      <c r="A30" s="24" t="s">
        <v>62</v>
      </c>
      <c r="B30" s="8" t="n">
        <f aca="false">COUNTIF('Client-Product Master'!$B$2:$B$55, A30)</f>
        <v>1</v>
      </c>
      <c r="C30" s="22" t="n">
        <f aca="false">SUMIF('Client-Product Master'!$B$2:$B$55, A30, 'Client-Product Master'!$E$2:$E$55)</f>
        <v>0</v>
      </c>
      <c r="D30" s="22" t="n">
        <f aca="false">SUMIF('Opportunity Model (Year-wise)'!$A$2:$A$379, A30, 'Opportunity Model (Year-wise)'!$F$2:$F$379)</f>
        <v>0</v>
      </c>
      <c r="E30" s="22" t="n">
        <f aca="false">SUMIF('Opportunity Model (Year-wise)'!$A$2:$A$379, A30, 'Opportunity Model (Year-wise)'!$H$2:$H$379)</f>
        <v>0</v>
      </c>
      <c r="F30" s="23" t="n">
        <f aca="false">D30+E30</f>
        <v>0</v>
      </c>
    </row>
    <row r="31" customFormat="false" ht="15" hidden="false" customHeight="false" outlineLevel="0" collapsed="false">
      <c r="A31" s="24" t="s">
        <v>69</v>
      </c>
      <c r="B31" s="8" t="n">
        <f aca="false">COUNTIF('Client-Product Master'!$B$2:$B$55, A31)</f>
        <v>1</v>
      </c>
      <c r="C31" s="22" t="n">
        <f aca="false">SUMIF('Client-Product Master'!$B$2:$B$55, A31, 'Client-Product Master'!$E$2:$E$55)</f>
        <v>0</v>
      </c>
      <c r="D31" s="22" t="n">
        <f aca="false">SUMIF('Opportunity Model (Year-wise)'!$A$2:$A$379, A31, 'Opportunity Model (Year-wise)'!$F$2:$F$379)</f>
        <v>0</v>
      </c>
      <c r="E31" s="22" t="n">
        <f aca="false">SUMIF('Opportunity Model (Year-wise)'!$A$2:$A$379, A31, 'Opportunity Model (Year-wise)'!$H$2:$H$379)</f>
        <v>0</v>
      </c>
      <c r="F31" s="23" t="n">
        <f aca="false">D31+E31</f>
        <v>0</v>
      </c>
    </row>
    <row r="32" customFormat="false" ht="15" hidden="false" customHeight="false" outlineLevel="0" collapsed="false">
      <c r="A32" s="24" t="s">
        <v>67</v>
      </c>
      <c r="B32" s="8" t="n">
        <f aca="false">COUNTIF('Client-Product Master'!$B$2:$B$55, A32)</f>
        <v>1</v>
      </c>
      <c r="C32" s="22" t="n">
        <f aca="false">SUMIF('Client-Product Master'!$B$2:$B$55, A32, 'Client-Product Master'!$E$2:$E$55)</f>
        <v>0</v>
      </c>
      <c r="D32" s="22" t="n">
        <f aca="false">SUMIF('Opportunity Model (Year-wise)'!$A$2:$A$379, A32, 'Opportunity Model (Year-wise)'!$F$2:$F$379)</f>
        <v>0</v>
      </c>
      <c r="E32" s="22" t="n">
        <f aca="false">SUMIF('Opportunity Model (Year-wise)'!$A$2:$A$379, A32, 'Opportunity Model (Year-wise)'!$H$2:$H$379)</f>
        <v>0</v>
      </c>
      <c r="F32" s="23" t="n">
        <f aca="false">D32+E32</f>
        <v>0</v>
      </c>
    </row>
    <row r="33" customFormat="false" ht="15" hidden="false" customHeight="false" outlineLevel="0" collapsed="false">
      <c r="A33" s="24" t="s">
        <v>81</v>
      </c>
      <c r="B33" s="8" t="n">
        <f aca="false">COUNTIF('Client-Product Master'!$B$2:$B$55, A33)</f>
        <v>1</v>
      </c>
      <c r="C33" s="22" t="n">
        <f aca="false">SUMIF('Client-Product Master'!$B$2:$B$55, A33, 'Client-Product Master'!$E$2:$E$55)</f>
        <v>0</v>
      </c>
      <c r="D33" s="22" t="n">
        <f aca="false">SUMIF('Opportunity Model (Year-wise)'!$A$2:$A$379, A33, 'Opportunity Model (Year-wise)'!$F$2:$F$379)</f>
        <v>0</v>
      </c>
      <c r="E33" s="22" t="n">
        <f aca="false">SUMIF('Opportunity Model (Year-wise)'!$A$2:$A$379, A33, 'Opportunity Model (Year-wise)'!$H$2:$H$379)</f>
        <v>0</v>
      </c>
      <c r="F33" s="23" t="n">
        <f aca="false">D33+E33</f>
        <v>0</v>
      </c>
    </row>
    <row r="34" customFormat="false" ht="15" hidden="false" customHeight="false" outlineLevel="0" collapsed="false">
      <c r="A34" s="24" t="s">
        <v>122</v>
      </c>
      <c r="B34" s="8" t="n">
        <f aca="false">COUNTIF('Client-Product Master'!$B$2:$B$55, A34)</f>
        <v>1</v>
      </c>
      <c r="C34" s="22" t="n">
        <f aca="false">SUMIF('Client-Product Master'!$B$2:$B$55, A34, 'Client-Product Master'!$E$2:$E$55)</f>
        <v>0</v>
      </c>
      <c r="D34" s="22" t="n">
        <f aca="false">SUMIF('Opportunity Model (Year-wise)'!$A$2:$A$379, A34, 'Opportunity Model (Year-wise)'!$F$2:$F$379)</f>
        <v>0</v>
      </c>
      <c r="E34" s="22" t="n">
        <f aca="false">SUMIF('Opportunity Model (Year-wise)'!$A$2:$A$379, A34, 'Opportunity Model (Year-wise)'!$H$2:$H$379)</f>
        <v>0</v>
      </c>
      <c r="F34" s="23" t="n">
        <f aca="false">D34+E34</f>
        <v>0</v>
      </c>
    </row>
    <row r="35" customFormat="false" ht="15" hidden="false" customHeight="false" outlineLevel="0" collapsed="false">
      <c r="A35" s="24" t="s">
        <v>114</v>
      </c>
      <c r="B35" s="8" t="n">
        <f aca="false">COUNTIF('Client-Product Master'!$B$2:$B$55, A35)</f>
        <v>1</v>
      </c>
      <c r="C35" s="22" t="n">
        <f aca="false">SUMIF('Client-Product Master'!$B$2:$B$55, A35, 'Client-Product Master'!$E$2:$E$55)</f>
        <v>0</v>
      </c>
      <c r="D35" s="22" t="n">
        <f aca="false">SUMIF('Opportunity Model (Year-wise)'!$A$2:$A$379, A35, 'Opportunity Model (Year-wise)'!$F$2:$F$379)</f>
        <v>0</v>
      </c>
      <c r="E35" s="22" t="n">
        <f aca="false">SUMIF('Opportunity Model (Year-wise)'!$A$2:$A$379, A35, 'Opportunity Model (Year-wise)'!$H$2:$H$379)</f>
        <v>0</v>
      </c>
      <c r="F35" s="23" t="n">
        <f aca="false">D35+E35</f>
        <v>0</v>
      </c>
    </row>
    <row r="36" customFormat="false" ht="15" hidden="false" customHeight="false" outlineLevel="0" collapsed="false">
      <c r="A36" s="24" t="s">
        <v>88</v>
      </c>
      <c r="B36" s="8" t="n">
        <f aca="false">COUNTIF('Client-Product Master'!$B$2:$B$55, A36)</f>
        <v>1</v>
      </c>
      <c r="C36" s="22" t="n">
        <f aca="false">SUMIF('Client-Product Master'!$B$2:$B$55, A36, 'Client-Product Master'!$E$2:$E$55)</f>
        <v>0</v>
      </c>
      <c r="D36" s="22" t="n">
        <f aca="false">SUMIF('Opportunity Model (Year-wise)'!$A$2:$A$379, A36, 'Opportunity Model (Year-wise)'!$F$2:$F$379)</f>
        <v>0</v>
      </c>
      <c r="E36" s="22" t="n">
        <f aca="false">SUMIF('Opportunity Model (Year-wise)'!$A$2:$A$379, A36, 'Opportunity Model (Year-wise)'!$H$2:$H$379)</f>
        <v>0</v>
      </c>
      <c r="F36" s="23" t="n">
        <f aca="false">D36+E36</f>
        <v>0</v>
      </c>
    </row>
    <row r="37" customFormat="false" ht="15" hidden="false" customHeight="false" outlineLevel="0" collapsed="false">
      <c r="A37" s="24" t="s">
        <v>149</v>
      </c>
      <c r="B37" s="8" t="n">
        <f aca="false">COUNTIF('Client-Product Master'!$B$2:$B$55, A37)</f>
        <v>1</v>
      </c>
      <c r="C37" s="22" t="n">
        <f aca="false">SUMIF('Client-Product Master'!$B$2:$B$55, A37, 'Client-Product Master'!$E$2:$E$55)</f>
        <v>0</v>
      </c>
      <c r="D37" s="22" t="n">
        <f aca="false">SUMIF('Opportunity Model (Year-wise)'!$A$2:$A$379, A37, 'Opportunity Model (Year-wise)'!$F$2:$F$379)</f>
        <v>0</v>
      </c>
      <c r="E37" s="22" t="n">
        <f aca="false">SUMIF('Opportunity Model (Year-wise)'!$A$2:$A$379, A37, 'Opportunity Model (Year-wise)'!$H$2:$H$379)</f>
        <v>0</v>
      </c>
      <c r="F37" s="23" t="n">
        <f aca="false">D37+E37</f>
        <v>0</v>
      </c>
    </row>
    <row r="38" customFormat="false" ht="15" hidden="false" customHeight="false" outlineLevel="0" collapsed="false">
      <c r="A38" s="24" t="s">
        <v>71</v>
      </c>
      <c r="B38" s="8" t="n">
        <f aca="false">COUNTIF('Client-Product Master'!$B$2:$B$55, A38)</f>
        <v>2</v>
      </c>
      <c r="C38" s="22" t="n">
        <f aca="false">SUMIF('Client-Product Master'!$B$2:$B$55, A38, 'Client-Product Master'!$E$2:$E$55)</f>
        <v>0</v>
      </c>
      <c r="D38" s="22" t="n">
        <f aca="false">SUMIF('Opportunity Model (Year-wise)'!$A$2:$A$379, A38, 'Opportunity Model (Year-wise)'!$F$2:$F$379)</f>
        <v>0</v>
      </c>
      <c r="E38" s="22" t="n">
        <f aca="false">SUMIF('Opportunity Model (Year-wise)'!$A$2:$A$379, A38, 'Opportunity Model (Year-wise)'!$H$2:$H$379)</f>
        <v>0</v>
      </c>
      <c r="F38" s="23" t="n">
        <f aca="false">D38+E38</f>
        <v>0</v>
      </c>
    </row>
    <row r="39" customFormat="false" ht="15" hidden="false" customHeight="false" outlineLevel="0" collapsed="false">
      <c r="A39" s="24" t="s">
        <v>94</v>
      </c>
      <c r="B39" s="8" t="n">
        <f aca="false">COUNTIF('Client-Product Master'!$B$2:$B$55, A39)</f>
        <v>2</v>
      </c>
      <c r="C39" s="22" t="n">
        <f aca="false">SUMIF('Client-Product Master'!$B$2:$B$55, A39, 'Client-Product Master'!$E$2:$E$55)</f>
        <v>0</v>
      </c>
      <c r="D39" s="22" t="n">
        <f aca="false">SUMIF('Opportunity Model (Year-wise)'!$A$2:$A$379, A39, 'Opportunity Model (Year-wise)'!$F$2:$F$379)</f>
        <v>0</v>
      </c>
      <c r="E39" s="22" t="n">
        <f aca="false">SUMIF('Opportunity Model (Year-wise)'!$A$2:$A$379, A39, 'Opportunity Model (Year-wise)'!$H$2:$H$379)</f>
        <v>0</v>
      </c>
      <c r="F39" s="23" t="n">
        <f aca="false">D39+E39</f>
        <v>0</v>
      </c>
    </row>
    <row r="40" customFormat="false" ht="15" hidden="false" customHeight="false" outlineLevel="0" collapsed="false">
      <c r="A40" s="24" t="s">
        <v>98</v>
      </c>
      <c r="B40" s="8" t="n">
        <f aca="false">COUNTIF('Client-Product Master'!$B$2:$B$55, A40)</f>
        <v>1</v>
      </c>
      <c r="C40" s="22" t="n">
        <f aca="false">SUMIF('Client-Product Master'!$B$2:$B$55, A40, 'Client-Product Master'!$E$2:$E$55)</f>
        <v>0</v>
      </c>
      <c r="D40" s="22" t="n">
        <f aca="false">SUMIF('Opportunity Model (Year-wise)'!$A$2:$A$379, A40, 'Opportunity Model (Year-wise)'!$F$2:$F$379)</f>
        <v>0</v>
      </c>
      <c r="E40" s="22" t="n">
        <f aca="false">SUMIF('Opportunity Model (Year-wise)'!$A$2:$A$379, A40, 'Opportunity Model (Year-wise)'!$H$2:$H$379)</f>
        <v>0</v>
      </c>
      <c r="F40" s="23" t="n">
        <f aca="false">D40+E40</f>
        <v>0</v>
      </c>
    </row>
    <row r="41" customFormat="false" ht="15" hidden="false" customHeight="false" outlineLevel="0" collapsed="false">
      <c r="A41" s="24" t="s">
        <v>86</v>
      </c>
      <c r="B41" s="8" t="n">
        <f aca="false">COUNTIF('Client-Product Master'!$B$2:$B$55, A41)</f>
        <v>1</v>
      </c>
      <c r="C41" s="22" t="n">
        <f aca="false">SUMIF('Client-Product Master'!$B$2:$B$55, A41, 'Client-Product Master'!$E$2:$E$55)</f>
        <v>0</v>
      </c>
      <c r="D41" s="22" t="n">
        <f aca="false">SUMIF('Opportunity Model (Year-wise)'!$A$2:$A$379, A41, 'Opportunity Model (Year-wise)'!$F$2:$F$379)</f>
        <v>0</v>
      </c>
      <c r="E41" s="22" t="n">
        <f aca="false">SUMIF('Opportunity Model (Year-wise)'!$A$2:$A$379, A41, 'Opportunity Model (Year-wise)'!$H$2:$H$379)</f>
        <v>0</v>
      </c>
      <c r="F41" s="23" t="n">
        <f aca="false">D41+E41</f>
        <v>0</v>
      </c>
    </row>
    <row r="42" customFormat="false" ht="15" hidden="false" customHeight="false" outlineLevel="0" collapsed="false">
      <c r="A42" s="24" t="s">
        <v>104</v>
      </c>
      <c r="B42" s="8" t="n">
        <f aca="false">COUNTIF('Client-Product Master'!$B$2:$B$55, A42)</f>
        <v>1</v>
      </c>
      <c r="C42" s="22" t="n">
        <f aca="false">SUMIF('Client-Product Master'!$B$2:$B$55, A42, 'Client-Product Master'!$E$2:$E$55)</f>
        <v>0</v>
      </c>
      <c r="D42" s="22" t="n">
        <f aca="false">SUMIF('Opportunity Model (Year-wise)'!$A$2:$A$379, A42, 'Opportunity Model (Year-wise)'!$F$2:$F$379)</f>
        <v>0</v>
      </c>
      <c r="E42" s="22" t="n">
        <f aca="false">SUMIF('Opportunity Model (Year-wise)'!$A$2:$A$379, A42, 'Opportunity Model (Year-wise)'!$H$2:$H$379)</f>
        <v>0</v>
      </c>
      <c r="F42" s="23" t="n">
        <f aca="false">D42+E42</f>
        <v>0</v>
      </c>
    </row>
    <row r="43" customFormat="false" ht="15" hidden="false" customHeight="false" outlineLevel="0" collapsed="false">
      <c r="A43" s="24" t="s">
        <v>112</v>
      </c>
      <c r="B43" s="8" t="n">
        <f aca="false">COUNTIF('Client-Product Master'!$B$2:$B$55, A43)</f>
        <v>1</v>
      </c>
      <c r="C43" s="22" t="n">
        <f aca="false">SUMIF('Client-Product Master'!$B$2:$B$55, A43, 'Client-Product Master'!$E$2:$E$55)</f>
        <v>0</v>
      </c>
      <c r="D43" s="22" t="n">
        <f aca="false">SUMIF('Opportunity Model (Year-wise)'!$A$2:$A$379, A43, 'Opportunity Model (Year-wise)'!$F$2:$F$379)</f>
        <v>0</v>
      </c>
      <c r="E43" s="22" t="n">
        <f aca="false">SUMIF('Opportunity Model (Year-wise)'!$A$2:$A$379, A43, 'Opportunity Model (Year-wise)'!$H$2:$H$379)</f>
        <v>0</v>
      </c>
      <c r="F43" s="23" t="n">
        <f aca="false">D43+E43</f>
        <v>0</v>
      </c>
    </row>
    <row r="44" customFormat="false" ht="15" hidden="false" customHeight="false" outlineLevel="0" collapsed="false">
      <c r="A44" s="24" t="s">
        <v>92</v>
      </c>
      <c r="B44" s="8" t="n">
        <f aca="false">COUNTIF('Client-Product Master'!$B$2:$B$55, A44)</f>
        <v>2</v>
      </c>
      <c r="C44" s="22" t="n">
        <f aca="false">SUMIF('Client-Product Master'!$B$2:$B$55, A44, 'Client-Product Master'!$E$2:$E$55)</f>
        <v>0</v>
      </c>
      <c r="D44" s="22" t="n">
        <f aca="false">SUMIF('Opportunity Model (Year-wise)'!$A$2:$A$379, A44, 'Opportunity Model (Year-wise)'!$F$2:$F$379)</f>
        <v>0</v>
      </c>
      <c r="E44" s="22" t="n">
        <f aca="false">SUMIF('Opportunity Model (Year-wise)'!$A$2:$A$379, A44, 'Opportunity Model (Year-wise)'!$H$2:$H$379)</f>
        <v>0</v>
      </c>
      <c r="F44" s="23" t="n">
        <f aca="false">D44+E44</f>
        <v>0</v>
      </c>
    </row>
    <row r="45" customFormat="false" ht="15" hidden="false" customHeight="false" outlineLevel="0" collapsed="false">
      <c r="A45" s="26" t="s">
        <v>165</v>
      </c>
      <c r="B45" s="27" t="n">
        <f aca="false">SUM(B2:B44)</f>
        <v>54</v>
      </c>
      <c r="C45" s="28" t="n">
        <f aca="false">SUM(C2:C44)</f>
        <v>5963250</v>
      </c>
      <c r="D45" s="28" t="n">
        <f aca="false">SUM(D2:D44)</f>
        <v>2027505</v>
      </c>
      <c r="E45" s="28" t="n">
        <f aca="false">SUM(E2:E44)</f>
        <v>2355483.75</v>
      </c>
      <c r="F45" s="28" t="n">
        <f aca="false">SUM(F2:F44)</f>
        <v>4382988.75</v>
      </c>
    </row>
  </sheetData>
  <autoFilter ref="A1:F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2026-10-27T07:41:34Z</dcterms:created>
  <dc:creator>openpyxl</dc:creator>
  <dc:description/>
  <dc:language>en-US</dc:language>
  <cp:lastModifiedBy/>
  <dcterms:modified xsi:type="dcterms:W3CDTF">2026-10-27T07:41:34Z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